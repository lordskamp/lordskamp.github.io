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1c8dffdbf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лаштування" sheetId="1" r:id="R65eea68d40f8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"/>
  </x:numFmts>
  <x:fonts count="6">
    <x:font>
      <x:sz val="11"/>
      <x:name val="Carlito"/>
    </x:font>
    <x:font>
      <x:sz val="11"/>
      <x:color rgb="FF26333D"/>
      <x:name val="Arial"/>
    </x:font>
    <x:font>
      <x:b/>
      <x:sz val="16"/>
      <x:color rgb="FF254B67"/>
      <x:name val="Arial"/>
    </x:font>
    <x:font>
      <x:sz val="11"/>
      <x:color rgb="FF5E6A74"/>
      <x:name val="Arial"/>
    </x:font>
    <x:font>
      <x:b/>
      <x:sz val="11"/>
      <x:color rgb="FFFFFFFF"/>
      <x:name val="Arial"/>
    </x:font>
    <x:font>
      <x:sz val="11"/>
      <x:color rgb="FF64717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4B67"/>
      </x:patternFill>
    </x:fill>
    <x:fill>
      <x:patternFill patternType="solid">
        <x:fgColor rgb="FFE8F2E8"/>
      </x:patternFill>
    </x:fill>
    <x:fill>
      <x:patternFill patternType="solid">
        <x:fgColor rgb="FFFFF0CE"/>
      </x:patternFill>
    </x:fill>
  </x:fills>
  <x:borders count="5">
    <x:border/>
    <x:border>
      <x:bottom style="thin">
        <x:color rgb="FF9AAEBE"/>
      </x:bottom>
    </x:border>
    <x:border>
      <x:left style="thin">
        <x:color rgb="FFB4C6D3"/>
      </x:left>
    </x:border>
    <x:border>
      <x:top style="thin">
        <x:color rgb="FFD8E0E6"/>
      </x:top>
    </x:border>
    <x:border>
      <x:left style="thin">
        <x:color rgb="FFB4C6D3"/>
      </x:left>
      <x:top style="thin">
        <x:color rgb="FFD8E0E6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7cd59545e404f" /><Relationship Type="http://schemas.openxmlformats.org/officeDocument/2006/relationships/theme" Target="/xl/theme/theme1.xml" Id="R4a5300515dbe4c7e" /><Relationship Type="http://schemas.openxmlformats.org/officeDocument/2006/relationships/sharedStrings" Target="/xl/sharedStrings.xml" Id="Rf4ad3923e7be4779" /><Relationship Type="http://schemas.openxmlformats.org/officeDocument/2006/relationships/worksheet" Target="/xl/worksheets/sheet1.xml" Id="R65eea68d40f84237" /></Relationships>
</file>

<file path=xl/tables/table1.xml><?xml version="1.0" encoding="utf-8"?>
<x:table xmlns:x="http://schemas.openxmlformats.org/spreadsheetml/2006/main" id="1" name="ZavodSettings" displayName="ZavodSettings" ref="A6:M372" headerRowCount="1" totalsRowCount="0" totalsRowShown="0">
  <x:tableColumns count="13">
    <x:tableColumn id="1" name="Кабель / карта"/>
    <x:tableColumn id="2" name="Переріз, мм²"/>
    <x:tableColumn id="3" name="Значення"/>
    <x:tableColumn id="4" name="Оберти №1, об/хв"/>
    <x:tableColumn id="5" name="Оберти №2, об/хв"/>
    <x:tableColumn id="6" name="Робоча швидкість, м/хв"/>
    <x:tableColumn id="7" name="1-ша швидкість, м/хв"/>
    <x:tableColumn id="8" name="2-га швидкість, м/хв"/>
    <x:tableColumn id="9" name="Дорн, мм"/>
    <x:tableColumn id="10" name="Матриця, мм"/>
    <x:tableColumn id="11" name="Сікора 1, мм"/>
    <x:tableColumn id="12" name="Сікора 2, мм"/>
    <x:tableColumn id="13" name="Джерел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1cf6b5f05347ce" /></Relationships>
</file>

<file path=xl/worksheets/sheet1.xml><?xml version="1.0" encoding="utf-8"?>
<x:worksheet xmlns:x="http://schemas.openxmlformats.org/spreadsheetml/2006/main">
  <x:sheetPr>
    <x:tabColor rgb="FF254B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1.25" hidden="0" customWidth="1"/>
    <x:col min="2" max="2" width="11.880000114440918" hidden="0" customWidth="1"/>
    <x:col min="3" max="3" width="16.25" hidden="0" customWidth="1"/>
    <x:col min="4" max="4" width="13.75" hidden="0" customWidth="1"/>
    <x:col min="5" max="5" width="13.75" hidden="0" customWidth="1"/>
    <x:col min="6" max="6" width="15.630000114440918" hidden="0" customWidth="1"/>
    <x:col min="7" max="7" width="13.130000114440918" hidden="0" customWidth="1"/>
    <x:col min="8" max="8" width="13.130000114440918" hidden="0" customWidth="1"/>
    <x:col min="9" max="9" width="12.5" hidden="0" customWidth="1"/>
    <x:col min="10" max="10" width="15" hidden="0" customWidth="1"/>
    <x:col min="11" max="11" width="13.130000114440918" hidden="0" customWidth="1"/>
    <x:col min="12" max="12" width="13.130000114440918" hidden="0" customWidth="1"/>
    <x:col min="13" max="13" width="28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3" t="str">
        <x:v>Обпресування — налаштування на 30.09.2026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Довідкові — з друкованої карти. Практичні — з рукописів. Прогнозовані — розрахунок для проби.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4" t="str">
        <x:v>1-ша швидкість — 20. 2-га — половина робочої, округлена до цілого. Порожня клітинка означає, що значення ще не з’ясували.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46" customHeight="1">
      <x:c r="A6" s="9" t="str">
        <x:v>Кабель / карта</x:v>
      </x:c>
      <x:c r="B6" s="9" t="str">
        <x:v>Переріз, мм²</x:v>
      </x:c>
      <x:c r="C6" s="9" t="str">
        <x:v>Значення</x:v>
      </x:c>
      <x:c r="D6" s="9" t="str">
        <x:v>Оберти №1, об/хв</x:v>
      </x:c>
      <x:c r="E6" s="9" t="str">
        <x:v>Оберти №2, об/хв</x:v>
      </x:c>
      <x:c r="F6" s="9" t="str">
        <x:v>Робоча швидкість, м/хв</x:v>
      </x:c>
      <x:c r="G6" s="9" t="str">
        <x:v>1-ша швидкість, м/хв</x:v>
      </x:c>
      <x:c r="H6" s="9" t="str">
        <x:v>2-га швидкість, м/хв</x:v>
      </x:c>
      <x:c r="I6" s="9" t="str">
        <x:v>Дорн, мм</x:v>
      </x:c>
      <x:c r="J6" s="9" t="str">
        <x:v>Матриця, мм</x:v>
      </x:c>
      <x:c r="K6" s="9" t="str">
        <x:v>Сікора 1, мм</x:v>
      </x:c>
      <x:c r="L6" s="9" t="str">
        <x:v>Сікора 2, мм</x:v>
      </x:c>
      <x:c r="M6" s="9" t="str">
        <x:v>Джерело</x:v>
      </x:c>
    </x:row>
    <x:row r="7" ht="25" customHeight="1">
      <x:c r="A7" s="18" t="str">
        <x:v>ПВС / ПВСнг / ПВСнгд / ШВВП · 380 В</x:v>
      </x:c>
      <x:c r="B7" s="19" t="n">
        <x:v>0.5</x:v>
      </x:c>
      <x:c r="C7" s="18" t="str">
        <x:v>Довідкові</x:v>
      </x:c>
      <x:c r="D7" s="20" t="n">
        <x:v>84</x:v>
      </x:c>
      <x:c r="E7" s="20" t="n">
        <x:v>169</x:v>
      </x:c>
      <x:c r="F7" s="20" t="n">
        <x:v>550</x:v>
      </x:c>
      <x:c r="G7" s="20" t="n">
        <x:v>20</x:v>
      </x:c>
      <x:c r="H7" s="20" t="n">
        <x:f>IF(F7="","",ROUND(F7/2,0))</x:f>
        <x:v>275</x:v>
      </x:c>
      <x:c r="I7" s="21" t="n">
        <x:v>1.1</x:v>
      </x:c>
      <x:c r="J7" s="21" t="n">
        <x:v>1.9</x:v>
      </x:c>
      <x:c r="K7" s="21"/>
      <x:c r="L7" s="21"/>
      <x:c r="M7" s="22" t="str">
        <x:v>IMG_3848.JPG</x:v>
      </x:c>
    </x:row>
    <x:row r="8" ht="25" customHeight="1">
      <x:c r="A8" s="10" t="str">
        <x:v>ПВС / ПВСнг / ПВСнгд / ШВВП · 380 В</x:v>
      </x:c>
      <x:c r="B8" s="11" t="n">
        <x:v>0.5</x:v>
      </x:c>
      <x:c r="C8" s="23" t="str">
        <x:v>Практичні</x:v>
      </x:c>
      <x:c r="D8" s="24"/>
      <x:c r="E8" s="24"/>
      <x:c r="F8" s="24"/>
      <x:c r="G8" s="14" t="n">
        <x:v>20</x:v>
      </x:c>
      <x:c r="H8" s="14" t="str">
        <x:f>IF(F8="","",ROUND(F8/2,0))</x:f>
      </x:c>
      <x:c r="I8" s="15"/>
      <x:c r="J8" s="15"/>
      <x:c r="K8" s="15"/>
      <x:c r="L8" s="15"/>
      <x:c r="M8" s="17" t="str">
        <x:v>Ще немає заміру</x:v>
      </x:c>
    </x:row>
    <x:row r="9" ht="25" customHeight="1">
      <x:c r="A9" s="10" t="str">
        <x:v>ПВС / ПВСнг / ПВСнгд / ШВВП · 380 В</x:v>
      </x:c>
      <x:c r="B9" s="11" t="n">
        <x:v>0.5</x:v>
      </x:c>
      <x:c r="C9" s="25" t="str">
        <x:v>Прогнозовані</x:v>
      </x:c>
      <x:c r="D9" s="26" t="n">
        <x:v>42</x:v>
      </x:c>
      <x:c r="E9" s="26" t="n">
        <x:v>70</x:v>
      </x:c>
      <x:c r="F9" s="26" t="n">
        <x:v>605</x:v>
      </x:c>
      <x:c r="G9" s="14" t="n">
        <x:v>20</x:v>
      </x:c>
      <x:c r="H9" s="14" t="n">
        <x:f>IF(F9="","",ROUND(F9/2,0))</x:f>
        <x:v>303</x:v>
      </x:c>
      <x:c r="I9" s="15"/>
      <x:c r="J9" s="15"/>
      <x:c r="K9" s="15"/>
      <x:c r="L9" s="15" t="n">
        <x:v>2.05</x:v>
      </x:c>
      <x:c r="M9" s="17" t="str">
        <x:v>IMG_3843.JPG</x:v>
      </x:c>
    </x:row>
    <x:row r="10" ht="25" customHeight="1">
      <x:c r="A10" s="18" t="str">
        <x:v>ПВС / ПВСнг / ПВСнгд / ШВВП · 380 В</x:v>
      </x:c>
      <x:c r="B10" s="19" t="n">
        <x:v>0.75</x:v>
      </x:c>
      <x:c r="C10" s="18" t="str">
        <x:v>Довідкові</x:v>
      </x:c>
      <x:c r="D10" s="20" t="n">
        <x:v>120</x:v>
      </x:c>
      <x:c r="E10" s="20" t="n">
        <x:v>240</x:v>
      </x:c>
      <x:c r="F10" s="20" t="n">
        <x:v>500</x:v>
      </x:c>
      <x:c r="G10" s="20" t="n">
        <x:v>20</x:v>
      </x:c>
      <x:c r="H10" s="20" t="n">
        <x:f>IF(F10="","",ROUND(F10/2,0))</x:f>
        <x:v>250</x:v>
      </x:c>
      <x:c r="I10" s="21"/>
      <x:c r="J10" s="21" t="n">
        <x:v>2</x:v>
      </x:c>
      <x:c r="K10" s="21"/>
      <x:c r="L10" s="21"/>
      <x:c r="M10" s="22" t="str">
        <x:v>IMG_3848.JPG</x:v>
      </x:c>
    </x:row>
    <x:row r="11" ht="25" customHeight="1">
      <x:c r="A11" s="10" t="str">
        <x:v>ПВС / ПВСнг / ПВСнгд / ШВВП · 380 В</x:v>
      </x:c>
      <x:c r="B11" s="11" t="n">
        <x:v>0.75</x:v>
      </x:c>
      <x:c r="C11" s="23" t="str">
        <x:v>Практичні</x:v>
      </x:c>
      <x:c r="D11" s="24" t="n">
        <x:v>60</x:v>
      </x:c>
      <x:c r="E11" s="24" t="n">
        <x:v>100</x:v>
      </x:c>
      <x:c r="F11" s="24" t="n">
        <x:v>550</x:v>
      </x:c>
      <x:c r="G11" s="14" t="n">
        <x:v>20</x:v>
      </x:c>
      <x:c r="H11" s="14" t="n">
        <x:f>IF(F11="","",ROUND(F11/2,0))</x:f>
        <x:v>275</x:v>
      </x:c>
      <x:c r="I11" s="15" t="n">
        <x:v>1.2</x:v>
      </x:c>
      <x:c r="J11" s="15" t="n">
        <x:v>2</x:v>
      </x:c>
      <x:c r="K11" s="15" t="n">
        <x:v>1.12</x:v>
      </x:c>
      <x:c r="L11" s="15" t="n">
        <x:v>2.1</x:v>
      </x:c>
      <x:c r="M11" s="17" t="str">
        <x:v>IMG_3843.JPG</x:v>
      </x:c>
    </x:row>
    <x:row r="12" ht="25" customHeight="1">
      <x:c r="A12" s="10" t="str">
        <x:v>ПВС / ПВСнг / ПВСнгд / ШВВП · 380 В</x:v>
      </x:c>
      <x:c r="B12" s="11" t="n">
        <x:v>0.75</x:v>
      </x:c>
      <x:c r="C12" s="25" t="str">
        <x:v>Прогнозовані</x:v>
      </x:c>
      <x:c r="D12" s="26"/>
      <x:c r="E12" s="26"/>
      <x:c r="F12" s="26"/>
      <x:c r="G12" s="14" t="n">
        <x:v>20</x:v>
      </x:c>
      <x:c r="H12" s="14" t="str">
        <x:f>IF(F12="","",ROUND(F12/2,0))</x:f>
      </x:c>
      <x:c r="I12" s="15"/>
      <x:c r="J12" s="15"/>
      <x:c r="K12" s="15"/>
      <x:c r="L12" s="15"/>
      <x:c r="M12" s="17" t="str">
        <x:v>Є практичні значення</x:v>
      </x:c>
    </x:row>
    <x:row r="13" ht="25" customHeight="1">
      <x:c r="A13" s="18" t="str">
        <x:v>ПВС / ПВСнг / ПВСнгд / ШВВП · 380 В</x:v>
      </x:c>
      <x:c r="B13" s="19" t="n">
        <x:v>1</x:v>
      </x:c>
      <x:c r="C13" s="18" t="str">
        <x:v>Довідкові</x:v>
      </x:c>
      <x:c r="D13" s="20" t="n">
        <x:v>117</x:v>
      </x:c>
      <x:c r="E13" s="20" t="n">
        <x:v>233</x:v>
      </x:c>
      <x:c r="F13" s="20" t="n">
        <x:v>450</x:v>
      </x:c>
      <x:c r="G13" s="20" t="n">
        <x:v>20</x:v>
      </x:c>
      <x:c r="H13" s="20" t="n">
        <x:f>IF(F13="","",ROUND(F13/2,0))</x:f>
        <x:v>225</x:v>
      </x:c>
      <x:c r="I13" s="21"/>
      <x:c r="J13" s="21" t="n">
        <x:v>2.1</x:v>
      </x:c>
      <x:c r="K13" s="21"/>
      <x:c r="L13" s="21"/>
      <x:c r="M13" s="22" t="str">
        <x:v>IMG_3848.JPG</x:v>
      </x:c>
    </x:row>
    <x:row r="14" ht="25" customHeight="1">
      <x:c r="A14" s="10" t="str">
        <x:v>ПВС / ПВСнг / ПВСнгд / ШВВП · 380 В</x:v>
      </x:c>
      <x:c r="B14" s="11" t="n">
        <x:v>1</x:v>
      </x:c>
      <x:c r="C14" s="23" t="str">
        <x:v>Практичні</x:v>
      </x:c>
      <x:c r="D14" s="24"/>
      <x:c r="E14" s="24"/>
      <x:c r="F14" s="24"/>
      <x:c r="G14" s="14" t="n">
        <x:v>20</x:v>
      </x:c>
      <x:c r="H14" s="14" t="str">
        <x:f>IF(F14="","",ROUND(F14/2,0))</x:f>
      </x:c>
      <x:c r="I14" s="15" t="n">
        <x:v>1.35</x:v>
      </x:c>
      <x:c r="J14" s="15"/>
      <x:c r="K14" s="15"/>
      <x:c r="L14" s="15"/>
      <x:c r="M14" s="17" t="str">
        <x:v>IMG_3848.JPG</x:v>
      </x:c>
    </x:row>
    <x:row r="15" ht="25" customHeight="1">
      <x:c r="A15" s="10" t="str">
        <x:v>ПВС / ПВСнг / ПВСнгд / ШВВП · 380 В</x:v>
      </x:c>
      <x:c r="B15" s="11" t="n">
        <x:v>1</x:v>
      </x:c>
      <x:c r="C15" s="25" t="str">
        <x:v>Прогнозовані</x:v>
      </x:c>
      <x:c r="D15" s="26" t="n">
        <x:v>65</x:v>
      </x:c>
      <x:c r="E15" s="26" t="n">
        <x:v>103</x:v>
      </x:c>
      <x:c r="F15" s="26" t="n">
        <x:v>512</x:v>
      </x:c>
      <x:c r="G15" s="14" t="n">
        <x:v>20</x:v>
      </x:c>
      <x:c r="H15" s="14" t="n">
        <x:f>IF(F15="","",ROUND(F15/2,0))</x:f>
        <x:v>256</x:v>
      </x:c>
      <x:c r="I15" s="15"/>
      <x:c r="J15" s="15"/>
      <x:c r="K15" s="15"/>
      <x:c r="L15" s="15" t="n">
        <x:v>2.25</x:v>
      </x:c>
      <x:c r="M15" s="17" t="str">
        <x:v>IMG_3843.JPG</x:v>
      </x:c>
    </x:row>
    <x:row r="16" ht="25" customHeight="1">
      <x:c r="A16" s="18" t="str">
        <x:v>ПВС / ПВСнг / ПВСнгд / ШВВП · 380 В</x:v>
      </x:c>
      <x:c r="B16" s="19" t="n">
        <x:v>1.5</x:v>
      </x:c>
      <x:c r="C16" s="18" t="str">
        <x:v>Довідкові</x:v>
      </x:c>
      <x:c r="D16" s="20" t="n">
        <x:v>119</x:v>
      </x:c>
      <x:c r="E16" s="20" t="n">
        <x:v>238</x:v>
      </x:c>
      <x:c r="F16" s="20" t="n">
        <x:v>330</x:v>
      </x:c>
      <x:c r="G16" s="20" t="n">
        <x:v>20</x:v>
      </x:c>
      <x:c r="H16" s="20" t="n">
        <x:f>IF(F16="","",ROUND(F16/2,0))</x:f>
        <x:v>165</x:v>
      </x:c>
      <x:c r="I16" s="21"/>
      <x:c r="J16" s="21" t="n">
        <x:v>2.7</x:v>
      </x:c>
      <x:c r="K16" s="21"/>
      <x:c r="L16" s="21"/>
      <x:c r="M16" s="22" t="str">
        <x:v>IMG_3848.JPG</x:v>
      </x:c>
    </x:row>
    <x:row r="17" ht="25" customHeight="1">
      <x:c r="A17" s="10" t="str">
        <x:v>ПВС / ПВСнг / ПВСнгд / ШВВП · 380 В</x:v>
      </x:c>
      <x:c r="B17" s="11" t="n">
        <x:v>1.5</x:v>
      </x:c>
      <x:c r="C17" s="23" t="str">
        <x:v>Практичні</x:v>
      </x:c>
      <x:c r="D17" s="24" t="n">
        <x:v>81</x:v>
      </x:c>
      <x:c r="E17" s="24" t="n">
        <x:v>118</x:v>
      </x:c>
      <x:c r="F17" s="24" t="n">
        <x:v>400</x:v>
      </x:c>
      <x:c r="G17" s="14" t="n">
        <x:v>20</x:v>
      </x:c>
      <x:c r="H17" s="14" t="n">
        <x:f>IF(F17="","",ROUND(F17/2,0))</x:f>
        <x:v>200</x:v>
      </x:c>
      <x:c r="I17" s="15" t="n">
        <x:v>1.65</x:v>
      </x:c>
      <x:c r="J17" s="15" t="n">
        <x:v>2.7</x:v>
      </x:c>
      <x:c r="K17" s="15" t="n">
        <x:v>1.53</x:v>
      </x:c>
      <x:c r="L17" s="15" t="n">
        <x:v>2.8</x:v>
      </x:c>
      <x:c r="M17" s="17" t="str">
        <x:v>IMG_3843.JPG</x:v>
      </x:c>
    </x:row>
    <x:row r="18" ht="25" customHeight="1">
      <x:c r="A18" s="10" t="str">
        <x:v>ПВС / ПВСнг / ПВСнгд / ШВВП · 380 В</x:v>
      </x:c>
      <x:c r="B18" s="11" t="n">
        <x:v>1.5</x:v>
      </x:c>
      <x:c r="C18" s="25" t="str">
        <x:v>Прогнозовані</x:v>
      </x:c>
      <x:c r="D18" s="26"/>
      <x:c r="E18" s="26"/>
      <x:c r="F18" s="26"/>
      <x:c r="G18" s="14" t="n">
        <x:v>20</x:v>
      </x:c>
      <x:c r="H18" s="14" t="str">
        <x:f>IF(F18="","",ROUND(F18/2,0))</x:f>
      </x:c>
      <x:c r="I18" s="15"/>
      <x:c r="J18" s="15"/>
      <x:c r="K18" s="15"/>
      <x:c r="L18" s="15"/>
      <x:c r="M18" s="17" t="str">
        <x:v>Є практичні значення</x:v>
      </x:c>
    </x:row>
    <x:row r="19" ht="25" customHeight="1">
      <x:c r="A19" s="18" t="str">
        <x:v>ПВС / ПВСнг / ПВСнгд / ШВВП · 380 В</x:v>
      </x:c>
      <x:c r="B19" s="19" t="n">
        <x:v>2.5</x:v>
      </x:c>
      <x:c r="C19" s="18" t="str">
        <x:v>Довідкові</x:v>
      </x:c>
      <x:c r="D19" s="20" t="n">
        <x:v>120</x:v>
      </x:c>
      <x:c r="E19" s="20" t="n">
        <x:v>240</x:v>
      </x:c>
      <x:c r="F19" s="20" t="n">
        <x:v>240</x:v>
      </x:c>
      <x:c r="G19" s="20" t="n">
        <x:v>20</x:v>
      </x:c>
      <x:c r="H19" s="20" t="n">
        <x:f>IF(F19="","",ROUND(F19/2,0))</x:f>
        <x:v>120</x:v>
      </x:c>
      <x:c r="I19" s="21"/>
      <x:c r="J19" s="21" t="n">
        <x:v>3.4</x:v>
      </x:c>
      <x:c r="K19" s="21"/>
      <x:c r="L19" s="21"/>
      <x:c r="M19" s="22" t="str">
        <x:v>IMG_3848.JPG</x:v>
      </x:c>
    </x:row>
    <x:row r="20" ht="25" customHeight="1">
      <x:c r="A20" s="10" t="str">
        <x:v>ПВС / ПВСнг / ПВСнгд / ШВВП · 380 В</x:v>
      </x:c>
      <x:c r="B20" s="11" t="n">
        <x:v>2.5</x:v>
      </x:c>
      <x:c r="C20" s="23" t="str">
        <x:v>Практичні</x:v>
      </x:c>
      <x:c r="D20" s="24" t="n">
        <x:v>78</x:v>
      </x:c>
      <x:c r="E20" s="24" t="n">
        <x:v>100</x:v>
      </x:c>
      <x:c r="F20" s="24" t="n">
        <x:v>240</x:v>
      </x:c>
      <x:c r="G20" s="14" t="n">
        <x:v>20</x:v>
      </x:c>
      <x:c r="H20" s="14" t="n">
        <x:f>IF(F20="","",ROUND(F20/2,0))</x:f>
        <x:v>120</x:v>
      </x:c>
      <x:c r="I20" s="15" t="n">
        <x:v>2.1</x:v>
      </x:c>
      <x:c r="J20" s="15" t="n">
        <x:v>3.4</x:v>
      </x:c>
      <x:c r="K20" s="15" t="n">
        <x:v>1.97</x:v>
      </x:c>
      <x:c r="L20" s="15" t="n">
        <x:v>3.55</x:v>
      </x:c>
      <x:c r="M20" s="17" t="str">
        <x:v>IMG_3843.JPG</x:v>
      </x:c>
    </x:row>
    <x:row r="21" ht="25" customHeight="1">
      <x:c r="A21" s="10" t="str">
        <x:v>ПВС / ПВСнг / ПВСнгд / ШВВП · 380 В</x:v>
      </x:c>
      <x:c r="B21" s="11" t="n">
        <x:v>2.5</x:v>
      </x:c>
      <x:c r="C21" s="25" t="str">
        <x:v>Прогнозовані</x:v>
      </x:c>
      <x:c r="D21" s="26"/>
      <x:c r="E21" s="26"/>
      <x:c r="F21" s="26"/>
      <x:c r="G21" s="14" t="n">
        <x:v>20</x:v>
      </x:c>
      <x:c r="H21" s="14" t="str">
        <x:f>IF(F21="","",ROUND(F21/2,0))</x:f>
      </x:c>
      <x:c r="I21" s="15"/>
      <x:c r="J21" s="15"/>
      <x:c r="K21" s="15"/>
      <x:c r="L21" s="15"/>
      <x:c r="M21" s="17" t="str">
        <x:v>Є практичні значення</x:v>
      </x:c>
    </x:row>
    <x:row r="22" ht="25" customHeight="1">
      <x:c r="A22" s="18" t="str">
        <x:v>ПВС / ПВСнг / ПВСнгд / ШВВП · 380 В</x:v>
      </x:c>
      <x:c r="B22" s="19" t="n">
        <x:v>4</x:v>
      </x:c>
      <x:c r="C22" s="18" t="str">
        <x:v>Довідкові</x:v>
      </x:c>
      <x:c r="D22" s="20" t="n">
        <x:v>122</x:v>
      </x:c>
      <x:c r="E22" s="20" t="n">
        <x:v>244</x:v>
      </x:c>
      <x:c r="F22" s="20" t="n">
        <x:v>200</x:v>
      </x:c>
      <x:c r="G22" s="20" t="n">
        <x:v>20</x:v>
      </x:c>
      <x:c r="H22" s="20" t="n">
        <x:f>IF(F22="","",ROUND(F22/2,0))</x:f>
        <x:v>100</x:v>
      </x:c>
      <x:c r="I22" s="21"/>
      <x:c r="J22" s="21" t="n">
        <x:v>4</x:v>
      </x:c>
      <x:c r="K22" s="21"/>
      <x:c r="L22" s="21"/>
      <x:c r="M22" s="22" t="str">
        <x:v>IMG_3848.JPG</x:v>
      </x:c>
    </x:row>
    <x:row r="23" ht="25" customHeight="1">
      <x:c r="A23" s="10" t="str">
        <x:v>ПВС / ПВСнг / ПВСнгд / ШВВП · 380 В</x:v>
      </x:c>
      <x:c r="B23" s="11" t="n">
        <x:v>4</x:v>
      </x:c>
      <x:c r="C23" s="23" t="str">
        <x:v>Практичні</x:v>
      </x:c>
      <x:c r="D23" s="24"/>
      <x:c r="E23" s="24"/>
      <x:c r="F23" s="24"/>
      <x:c r="G23" s="14" t="n">
        <x:v>20</x:v>
      </x:c>
      <x:c r="H23" s="14" t="str">
        <x:f>IF(F23="","",ROUND(F23/2,0))</x:f>
      </x:c>
      <x:c r="I23" s="15" t="n">
        <x:v>2.65</x:v>
      </x:c>
      <x:c r="J23" s="15"/>
      <x:c r="K23" s="15"/>
      <x:c r="L23" s="15"/>
      <x:c r="M23" s="17" t="str">
        <x:v>IMG_3848.JPG</x:v>
      </x:c>
    </x:row>
    <x:row r="24" ht="25" customHeight="1">
      <x:c r="A24" s="10" t="str">
        <x:v>ПВС / ПВСнг / ПВСнгд / ШВВП · 380 В</x:v>
      </x:c>
      <x:c r="B24" s="11" t="n">
        <x:v>4</x:v>
      </x:c>
      <x:c r="C24" s="25" t="str">
        <x:v>Прогнозовані</x:v>
      </x:c>
      <x:c r="D24" s="26" t="n">
        <x:v>79</x:v>
      </x:c>
      <x:c r="E24" s="26" t="n">
        <x:v>102</x:v>
      </x:c>
      <x:c r="F24" s="26" t="n">
        <x:v>200</x:v>
      </x:c>
      <x:c r="G24" s="14" t="n">
        <x:v>20</x:v>
      </x:c>
      <x:c r="H24" s="14" t="n">
        <x:f>IF(F24="","",ROUND(F24/2,0))</x:f>
        <x:v>100</x:v>
      </x:c>
      <x:c r="I24" s="15"/>
      <x:c r="J24" s="15"/>
      <x:c r="K24" s="15"/>
      <x:c r="L24" s="15" t="n">
        <x:v>4.15</x:v>
      </x:c>
      <x:c r="M24" s="17" t="str">
        <x:v>IMG_3843.JPG</x:v>
      </x:c>
    </x:row>
    <x:row r="25" ht="25" customHeight="1">
      <x:c r="A25" s="18" t="str">
        <x:v>ПВС / ПВСнг / ПВСнгд / ШВВП · 380 В</x:v>
      </x:c>
      <x:c r="B25" s="19" t="n">
        <x:v>6</x:v>
      </x:c>
      <x:c r="C25" s="18" t="str">
        <x:v>Довідкові</x:v>
      </x:c>
      <x:c r="D25" s="20" t="n">
        <x:v>124</x:v>
      </x:c>
      <x:c r="E25" s="20" t="n">
        <x:v>248</x:v>
      </x:c>
      <x:c r="F25" s="20" t="n">
        <x:v>150</x:v>
      </x:c>
      <x:c r="G25" s="20" t="n">
        <x:v>20</x:v>
      </x:c>
      <x:c r="H25" s="20" t="n">
        <x:f>IF(F25="","",ROUND(F25/2,0))</x:f>
        <x:v>75</x:v>
      </x:c>
      <x:c r="I25" s="21" t="n">
        <x:v>3.2</x:v>
      </x:c>
      <x:c r="J25" s="21" t="n">
        <x:v>4.5</x:v>
      </x:c>
      <x:c r="K25" s="21"/>
      <x:c r="L25" s="21"/>
      <x:c r="M25" s="22" t="str">
        <x:v>IMG_3848.JPG</x:v>
      </x:c>
    </x:row>
    <x:row r="26" ht="25" customHeight="1">
      <x:c r="A26" s="10" t="str">
        <x:v>ПВС / ПВСнг / ПВСнгд / ШВВП · 380 В</x:v>
      </x:c>
      <x:c r="B26" s="11" t="n">
        <x:v>6</x:v>
      </x:c>
      <x:c r="C26" s="23" t="str">
        <x:v>Практичні</x:v>
      </x:c>
      <x:c r="D26" s="24"/>
      <x:c r="E26" s="24"/>
      <x:c r="F26" s="24"/>
      <x:c r="G26" s="14" t="n">
        <x:v>20</x:v>
      </x:c>
      <x:c r="H26" s="14" t="str">
        <x:f>IF(F26="","",ROUND(F26/2,0))</x:f>
      </x:c>
      <x:c r="I26" s="15"/>
      <x:c r="J26" s="15"/>
      <x:c r="K26" s="15"/>
      <x:c r="L26" s="15"/>
      <x:c r="M26" s="17" t="str">
        <x:v>Ще немає заміру</x:v>
      </x:c>
    </x:row>
    <x:row r="27" ht="25" customHeight="1">
      <x:c r="A27" s="10" t="str">
        <x:v>ПВС / ПВСнг / ПВСнгд / ШВВП · 380 В</x:v>
      </x:c>
      <x:c r="B27" s="11" t="n">
        <x:v>6</x:v>
      </x:c>
      <x:c r="C27" s="25" t="str">
        <x:v>Прогнозовані</x:v>
      </x:c>
      <x:c r="D27" s="26" t="n">
        <x:v>81</x:v>
      </x:c>
      <x:c r="E27" s="26" t="n">
        <x:v>103</x:v>
      </x:c>
      <x:c r="F27" s="26" t="n">
        <x:v>150</x:v>
      </x:c>
      <x:c r="G27" s="14" t="n">
        <x:v>20</x:v>
      </x:c>
      <x:c r="H27" s="14" t="n">
        <x:f>IF(F27="","",ROUND(F27/2,0))</x:f>
        <x:v>75</x:v>
      </x:c>
      <x:c r="I27" s="15"/>
      <x:c r="J27" s="15"/>
      <x:c r="K27" s="15"/>
      <x:c r="L27" s="15" t="n">
        <x:v>4.65</x:v>
      </x:c>
      <x:c r="M27" s="17" t="str">
        <x:v>IMG_3843.JPG</x:v>
      </x:c>
    </x:row>
    <x:row r="28" ht="25" customHeight="1">
      <x:c r="A28" s="18" t="str">
        <x:v>ВВГ та споріднені марки · 0,66 кВ</x:v>
      </x:c>
      <x:c r="B28" s="19" t="n">
        <x:v>1.5</x:v>
      </x:c>
      <x:c r="C28" s="18" t="str">
        <x:v>Довідкові</x:v>
      </x:c>
      <x:c r="D28" s="20"/>
      <x:c r="E28" s="20"/>
      <x:c r="F28" s="20" t="n">
        <x:v>500</x:v>
      </x:c>
      <x:c r="G28" s="20" t="n">
        <x:v>20</x:v>
      </x:c>
      <x:c r="H28" s="20" t="n">
        <x:f>IF(F28="","",ROUND(F28/2,0))</x:f>
        <x:v>250</x:v>
      </x:c>
      <x:c r="I28" s="21" t="n">
        <x:v>1.4</x:v>
      </x:c>
      <x:c r="J28" s="21" t="n">
        <x:v>2.45</x:v>
      </x:c>
      <x:c r="K28" s="21"/>
      <x:c r="L28" s="21"/>
      <x:c r="M28" s="22" t="str">
        <x:v>IMG_3849.JPG</x:v>
      </x:c>
    </x:row>
    <x:row r="29" ht="25" customHeight="1">
      <x:c r="A29" s="10" t="str">
        <x:v>ВВГ та споріднені марки · 0,66 кВ</x:v>
      </x:c>
      <x:c r="B29" s="11" t="n">
        <x:v>1.5</x:v>
      </x:c>
      <x:c r="C29" s="23" t="str">
        <x:v>Практичні</x:v>
      </x:c>
      <x:c r="D29" s="24" t="n">
        <x:v>140</x:v>
      </x:c>
      <x:c r="E29" s="24" t="n">
        <x:v>195</x:v>
      </x:c>
      <x:c r="F29" s="24" t="n">
        <x:v>800</x:v>
      </x:c>
      <x:c r="G29" s="14" t="n">
        <x:v>20</x:v>
      </x:c>
      <x:c r="H29" s="14" t="n">
        <x:f>IF(F29="","",ROUND(F29/2,0))</x:f>
        <x:v>400</x:v>
      </x:c>
      <x:c r="I29" s="15" t="n">
        <x:v>1.4</x:v>
      </x:c>
      <x:c r="J29" s="15" t="n">
        <x:v>2.45</x:v>
      </x:c>
      <x:c r="K29" s="15" t="n">
        <x:v>1.37</x:v>
      </x:c>
      <x:c r="L29" s="15" t="n">
        <x:v>2.6</x:v>
      </x:c>
      <x:c r="M29" s="17" t="str">
        <x:v>DRAW_3.JPG</x:v>
      </x:c>
    </x:row>
    <x:row r="30" ht="25" customHeight="1">
      <x:c r="A30" s="10" t="str">
        <x:v>ВВГ та споріднені марки · 0,66 кВ</x:v>
      </x:c>
      <x:c r="B30" s="11" t="n">
        <x:v>1.5</x:v>
      </x:c>
      <x:c r="C30" s="25" t="str">
        <x:v>Прогнозовані</x:v>
      </x:c>
      <x:c r="D30" s="26"/>
      <x:c r="E30" s="26"/>
      <x:c r="F30" s="26"/>
      <x:c r="G30" s="14" t="n">
        <x:v>20</x:v>
      </x:c>
      <x:c r="H30" s="14" t="str">
        <x:f>IF(F30="","",ROUND(F30/2,0))</x:f>
      </x:c>
      <x:c r="I30" s="15"/>
      <x:c r="J30" s="15"/>
      <x:c r="K30" s="15"/>
      <x:c r="L30" s="15"/>
      <x:c r="M30" s="17" t="str">
        <x:v>Є практичні значення</x:v>
      </x:c>
    </x:row>
    <x:row r="31" ht="25" customHeight="1">
      <x:c r="A31" s="18" t="str">
        <x:v>ВВГ та споріднені марки · 0,66 кВ</x:v>
      </x:c>
      <x:c r="B31" s="19" t="n">
        <x:v>2.5</x:v>
      </x:c>
      <x:c r="C31" s="18" t="str">
        <x:v>Довідкові</x:v>
      </x:c>
      <x:c r="D31" s="20"/>
      <x:c r="E31" s="20"/>
      <x:c r="F31" s="20" t="n">
        <x:v>400</x:v>
      </x:c>
      <x:c r="G31" s="20" t="n">
        <x:v>20</x:v>
      </x:c>
      <x:c r="H31" s="20" t="n">
        <x:f>IF(F31="","",ROUND(F31/2,0))</x:f>
        <x:v>200</x:v>
      </x:c>
      <x:c r="I31" s="21" t="n">
        <x:v>1.8</x:v>
      </x:c>
      <x:c r="J31" s="21" t="n">
        <x:v>2.75</x:v>
      </x:c>
      <x:c r="K31" s="21"/>
      <x:c r="L31" s="21"/>
      <x:c r="M31" s="22" t="str">
        <x:v>IMG_3849.JPG</x:v>
      </x:c>
    </x:row>
    <x:row r="32" ht="25" customHeight="1">
      <x:c r="A32" s="10" t="str">
        <x:v>ВВГ та споріднені марки · 0,66 кВ</x:v>
      </x:c>
      <x:c r="B32" s="11" t="n">
        <x:v>2.5</x:v>
      </x:c>
      <x:c r="C32" s="23" t="str">
        <x:v>Практичні</x:v>
      </x:c>
      <x:c r="D32" s="24" t="n">
        <x:v>104</x:v>
      </x:c>
      <x:c r="E32" s="24" t="n">
        <x:v>152</x:v>
      </x:c>
      <x:c r="F32" s="24" t="n">
        <x:v>550</x:v>
      </x:c>
      <x:c r="G32" s="14" t="n">
        <x:v>20</x:v>
      </x:c>
      <x:c r="H32" s="14" t="n">
        <x:f>IF(F32="","",ROUND(F32/2,0))</x:f>
        <x:v>275</x:v>
      </x:c>
      <x:c r="I32" s="15" t="n">
        <x:v>1.8</x:v>
      </x:c>
      <x:c r="J32" s="15" t="n">
        <x:v>2.75</x:v>
      </x:c>
      <x:c r="K32" s="15" t="n">
        <x:v>1.75</x:v>
      </x:c>
      <x:c r="L32" s="15" t="n">
        <x:v>2.88</x:v>
      </x:c>
      <x:c r="M32" s="17" t="str">
        <x:v>DRAW_3.JPG</x:v>
      </x:c>
    </x:row>
    <x:row r="33" ht="25" customHeight="1">
      <x:c r="A33" s="10" t="str">
        <x:v>ВВГ та споріднені марки · 0,66 кВ</x:v>
      </x:c>
      <x:c r="B33" s="11" t="n">
        <x:v>2.5</x:v>
      </x:c>
      <x:c r="C33" s="25" t="str">
        <x:v>Прогнозовані</x:v>
      </x:c>
      <x:c r="D33" s="26"/>
      <x:c r="E33" s="26"/>
      <x:c r="F33" s="26"/>
      <x:c r="G33" s="14" t="n">
        <x:v>20</x:v>
      </x:c>
      <x:c r="H33" s="14" t="str">
        <x:f>IF(F33="","",ROUND(F33/2,0))</x:f>
      </x:c>
      <x:c r="I33" s="15"/>
      <x:c r="J33" s="15"/>
      <x:c r="K33" s="15"/>
      <x:c r="L33" s="15"/>
      <x:c r="M33" s="17" t="str">
        <x:v>Є практичні значення</x:v>
      </x:c>
    </x:row>
    <x:row r="34" ht="25" customHeight="1">
      <x:c r="A34" s="18" t="str">
        <x:v>ВВГ та споріднені марки · 0,66 кВ</x:v>
      </x:c>
      <x:c r="B34" s="19" t="n">
        <x:v>4</x:v>
      </x:c>
      <x:c r="C34" s="18" t="str">
        <x:v>Довідкові</x:v>
      </x:c>
      <x:c r="D34" s="20"/>
      <x:c r="E34" s="20"/>
      <x:c r="F34" s="20" t="n">
        <x:v>160</x:v>
      </x:c>
      <x:c r="G34" s="20" t="n">
        <x:v>20</x:v>
      </x:c>
      <x:c r="H34" s="20" t="n">
        <x:f>IF(F34="","",ROUND(F34/2,0))</x:f>
        <x:v>80</x:v>
      </x:c>
      <x:c r="I34" s="21" t="n">
        <x:v>2.3</x:v>
      </x:c>
      <x:c r="J34" s="21" t="n">
        <x:v>3.4</x:v>
      </x:c>
      <x:c r="K34" s="21"/>
      <x:c r="L34" s="21"/>
      <x:c r="M34" s="22" t="str">
        <x:v>IMG_3849.JPG</x:v>
      </x:c>
    </x:row>
    <x:row r="35" ht="25" customHeight="1">
      <x:c r="A35" s="10" t="str">
        <x:v>ВВГ та споріднені марки · 0,66 кВ</x:v>
      </x:c>
      <x:c r="B35" s="11" t="n">
        <x:v>4</x:v>
      </x:c>
      <x:c r="C35" s="23" t="str">
        <x:v>Практичні</x:v>
      </x:c>
      <x:c r="D35" s="24"/>
      <x:c r="E35" s="24"/>
      <x:c r="F35" s="24"/>
      <x:c r="G35" s="14" t="n">
        <x:v>20</x:v>
      </x:c>
      <x:c r="H35" s="14" t="str">
        <x:f>IF(F35="","",ROUND(F35/2,0))</x:f>
      </x:c>
      <x:c r="I35" s="15"/>
      <x:c r="J35" s="15"/>
      <x:c r="K35" s="15"/>
      <x:c r="L35" s="15"/>
      <x:c r="M35" s="17" t="str">
        <x:v>Ще немає заміру</x:v>
      </x:c>
    </x:row>
    <x:row r="36" ht="25" customHeight="1">
      <x:c r="A36" s="10" t="str">
        <x:v>ВВГ та споріднені марки · 0,66 кВ</x:v>
      </x:c>
      <x:c r="B36" s="11" t="n">
        <x:v>4</x:v>
      </x:c>
      <x:c r="C36" s="25" t="str">
        <x:v>Прогнозовані</x:v>
      </x:c>
      <x:c r="D36" s="26" t="n">
        <x:v>54</x:v>
      </x:c>
      <x:c r="E36" s="26" t="n">
        <x:v>79</x:v>
      </x:c>
      <x:c r="F36" s="26" t="n">
        <x:v>220</x:v>
      </x:c>
      <x:c r="G36" s="14" t="n">
        <x:v>20</x:v>
      </x:c>
      <x:c r="H36" s="14" t="n">
        <x:f>IF(F36="","",ROUND(F36/2,0))</x:f>
        <x:v>110</x:v>
      </x:c>
      <x:c r="I36" s="15"/>
      <x:c r="J36" s="15"/>
      <x:c r="K36" s="15"/>
      <x:c r="L36" s="15" t="n">
        <x:v>3.55</x:v>
      </x:c>
      <x:c r="M36" s="17" t="str">
        <x:v>DRAW_3.JPG</x:v>
      </x:c>
    </x:row>
    <x:row r="37" ht="25" customHeight="1">
      <x:c r="A37" s="18" t="str">
        <x:v>ВВГ та споріднені марки · 0,66 кВ</x:v>
      </x:c>
      <x:c r="B37" s="19" t="n">
        <x:v>6</x:v>
      </x:c>
      <x:c r="C37" s="18" t="str">
        <x:v>Довідкові</x:v>
      </x:c>
      <x:c r="D37" s="20"/>
      <x:c r="E37" s="20"/>
      <x:c r="F37" s="20" t="n">
        <x:v>160</x:v>
      </x:c>
      <x:c r="G37" s="20" t="n">
        <x:v>20</x:v>
      </x:c>
      <x:c r="H37" s="20" t="n">
        <x:f>IF(F37="","",ROUND(F37/2,0))</x:f>
        <x:v>80</x:v>
      </x:c>
      <x:c r="I37" s="21" t="n">
        <x:v>2.8</x:v>
      </x:c>
      <x:c r="J37" s="21" t="n">
        <x:v>3.95</x:v>
      </x:c>
      <x:c r="K37" s="21"/>
      <x:c r="L37" s="21"/>
      <x:c r="M37" s="22" t="str">
        <x:v>IMG_3849.JPG</x:v>
      </x:c>
    </x:row>
    <x:row r="38" ht="25" customHeight="1">
      <x:c r="A38" s="10" t="str">
        <x:v>ВВГ та споріднені марки · 0,66 кВ</x:v>
      </x:c>
      <x:c r="B38" s="11" t="n">
        <x:v>6</x:v>
      </x:c>
      <x:c r="C38" s="23" t="str">
        <x:v>Практичні</x:v>
      </x:c>
      <x:c r="D38" s="24"/>
      <x:c r="E38" s="24"/>
      <x:c r="F38" s="24"/>
      <x:c r="G38" s="14" t="n">
        <x:v>20</x:v>
      </x:c>
      <x:c r="H38" s="14" t="str">
        <x:f>IF(F38="","",ROUND(F38/2,0))</x:f>
      </x:c>
      <x:c r="I38" s="15"/>
      <x:c r="J38" s="15"/>
      <x:c r="K38" s="15"/>
      <x:c r="L38" s="15"/>
      <x:c r="M38" s="17" t="str">
        <x:v>Ще немає заміру</x:v>
      </x:c>
    </x:row>
    <x:row r="39" ht="25" customHeight="1">
      <x:c r="A39" s="10" t="str">
        <x:v>ВВГ та споріднені марки · 0,66 кВ</x:v>
      </x:c>
      <x:c r="B39" s="11" t="n">
        <x:v>6</x:v>
      </x:c>
      <x:c r="C39" s="25" t="str">
        <x:v>Прогнозовані</x:v>
      </x:c>
      <x:c r="D39" s="26" t="n">
        <x:v>63</x:v>
      </x:c>
      <x:c r="E39" s="26" t="n">
        <x:v>92</x:v>
      </x:c>
      <x:c r="F39" s="26" t="n">
        <x:v>220</x:v>
      </x:c>
      <x:c r="G39" s="14" t="n">
        <x:v>20</x:v>
      </x:c>
      <x:c r="H39" s="14" t="n">
        <x:f>IF(F39="","",ROUND(F39/2,0))</x:f>
        <x:v>110</x:v>
      </x:c>
      <x:c r="I39" s="15"/>
      <x:c r="J39" s="15"/>
      <x:c r="K39" s="15"/>
      <x:c r="L39" s="15" t="n">
        <x:v>4.1</x:v>
      </x:c>
      <x:c r="M39" s="17" t="str">
        <x:v>DRAW_3.JPG</x:v>
      </x:c>
    </x:row>
    <x:row r="40" ht="25" customHeight="1">
      <x:c r="A40" s="18" t="str">
        <x:v>ВВГ-П · окремі рядки тієї ж карти</x:v>
      </x:c>
      <x:c r="B40" s="19" t="n">
        <x:v>1.5</x:v>
      </x:c>
      <x:c r="C40" s="18" t="str">
        <x:v>Довідкові</x:v>
      </x:c>
      <x:c r="D40" s="20"/>
      <x:c r="E40" s="20"/>
      <x:c r="F40" s="20" t="n">
        <x:v>500</x:v>
      </x:c>
      <x:c r="G40" s="20" t="n">
        <x:v>20</x:v>
      </x:c>
      <x:c r="H40" s="20" t="n">
        <x:f>IF(F40="","",ROUND(F40/2,0))</x:f>
        <x:v>250</x:v>
      </x:c>
      <x:c r="I40" s="21" t="n">
        <x:v>1.4</x:v>
      </x:c>
      <x:c r="J40" s="21" t="n">
        <x:v>2.45</x:v>
      </x:c>
      <x:c r="K40" s="21"/>
      <x:c r="L40" s="21"/>
      <x:c r="M40" s="22" t="str">
        <x:v>IMG_3849.JPG</x:v>
      </x:c>
    </x:row>
    <x:row r="41" ht="25" customHeight="1">
      <x:c r="A41" s="10" t="str">
        <x:v>ВВГ-П · окремі рядки тієї ж карти</x:v>
      </x:c>
      <x:c r="B41" s="11" t="n">
        <x:v>1.5</x:v>
      </x:c>
      <x:c r="C41" s="23" t="str">
        <x:v>Практичні</x:v>
      </x:c>
      <x:c r="D41" s="24" t="n">
        <x:v>140</x:v>
      </x:c>
      <x:c r="E41" s="24" t="n">
        <x:v>195</x:v>
      </x:c>
      <x:c r="F41" s="24" t="n">
        <x:v>800</x:v>
      </x:c>
      <x:c r="G41" s="14" t="n">
        <x:v>20</x:v>
      </x:c>
      <x:c r="H41" s="14" t="n">
        <x:f>IF(F41="","",ROUND(F41/2,0))</x:f>
        <x:v>400</x:v>
      </x:c>
      <x:c r="I41" s="15" t="n">
        <x:v>1.4</x:v>
      </x:c>
      <x:c r="J41" s="15" t="n">
        <x:v>2.45</x:v>
      </x:c>
      <x:c r="K41" s="15" t="n">
        <x:v>1.37</x:v>
      </x:c>
      <x:c r="L41" s="15" t="n">
        <x:v>2.6</x:v>
      </x:c>
      <x:c r="M41" s="17" t="str">
        <x:v>DRAW_3.JPG</x:v>
      </x:c>
    </x:row>
    <x:row r="42" ht="25" customHeight="1">
      <x:c r="A42" s="10" t="str">
        <x:v>ВВГ-П · окремі рядки тієї ж карти</x:v>
      </x:c>
      <x:c r="B42" s="11" t="n">
        <x:v>1.5</x:v>
      </x:c>
      <x:c r="C42" s="25" t="str">
        <x:v>Прогнозовані</x:v>
      </x:c>
      <x:c r="D42" s="26"/>
      <x:c r="E42" s="26"/>
      <x:c r="F42" s="26"/>
      <x:c r="G42" s="14" t="n">
        <x:v>20</x:v>
      </x:c>
      <x:c r="H42" s="14" t="str">
        <x:f>IF(F42="","",ROUND(F42/2,0))</x:f>
      </x:c>
      <x:c r="I42" s="15"/>
      <x:c r="J42" s="15"/>
      <x:c r="K42" s="15"/>
      <x:c r="L42" s="15"/>
      <x:c r="M42" s="17" t="str">
        <x:v>Є практичні значення</x:v>
      </x:c>
    </x:row>
    <x:row r="43" ht="25" customHeight="1">
      <x:c r="A43" s="18" t="str">
        <x:v>ВВГ-П · окремі рядки тієї ж карти</x:v>
      </x:c>
      <x:c r="B43" s="19" t="n">
        <x:v>2.5</x:v>
      </x:c>
      <x:c r="C43" s="18" t="str">
        <x:v>Довідкові</x:v>
      </x:c>
      <x:c r="D43" s="20"/>
      <x:c r="E43" s="20"/>
      <x:c r="F43" s="20" t="n">
        <x:v>400</x:v>
      </x:c>
      <x:c r="G43" s="20" t="n">
        <x:v>20</x:v>
      </x:c>
      <x:c r="H43" s="20" t="n">
        <x:f>IF(F43="","",ROUND(F43/2,0))</x:f>
        <x:v>200</x:v>
      </x:c>
      <x:c r="I43" s="21" t="n">
        <x:v>1.8</x:v>
      </x:c>
      <x:c r="J43" s="21" t="n">
        <x:v>2.75</x:v>
      </x:c>
      <x:c r="K43" s="21"/>
      <x:c r="L43" s="21"/>
      <x:c r="M43" s="22" t="str">
        <x:v>IMG_3849.JPG</x:v>
      </x:c>
    </x:row>
    <x:row r="44" ht="25" customHeight="1">
      <x:c r="A44" s="10" t="str">
        <x:v>ВВГ-П · окремі рядки тієї ж карти</x:v>
      </x:c>
      <x:c r="B44" s="11" t="n">
        <x:v>2.5</x:v>
      </x:c>
      <x:c r="C44" s="23" t="str">
        <x:v>Практичні</x:v>
      </x:c>
      <x:c r="D44" s="24" t="n">
        <x:v>104</x:v>
      </x:c>
      <x:c r="E44" s="24" t="n">
        <x:v>152</x:v>
      </x:c>
      <x:c r="F44" s="24" t="n">
        <x:v>550</x:v>
      </x:c>
      <x:c r="G44" s="14" t="n">
        <x:v>20</x:v>
      </x:c>
      <x:c r="H44" s="14" t="n">
        <x:f>IF(F44="","",ROUND(F44/2,0))</x:f>
        <x:v>275</x:v>
      </x:c>
      <x:c r="I44" s="15" t="n">
        <x:v>1.8</x:v>
      </x:c>
      <x:c r="J44" s="15" t="n">
        <x:v>2.75</x:v>
      </x:c>
      <x:c r="K44" s="15" t="n">
        <x:v>1.75</x:v>
      </x:c>
      <x:c r="L44" s="15" t="n">
        <x:v>2.88</x:v>
      </x:c>
      <x:c r="M44" s="17" t="str">
        <x:v>DRAW_3.JPG</x:v>
      </x:c>
    </x:row>
    <x:row r="45" ht="25" customHeight="1">
      <x:c r="A45" s="10" t="str">
        <x:v>ВВГ-П · окремі рядки тієї ж карти</x:v>
      </x:c>
      <x:c r="B45" s="11" t="n">
        <x:v>2.5</x:v>
      </x:c>
      <x:c r="C45" s="25" t="str">
        <x:v>Прогнозовані</x:v>
      </x:c>
      <x:c r="D45" s="26"/>
      <x:c r="E45" s="26"/>
      <x:c r="F45" s="26"/>
      <x:c r="G45" s="14" t="n">
        <x:v>20</x:v>
      </x:c>
      <x:c r="H45" s="14" t="str">
        <x:f>IF(F45="","",ROUND(F45/2,0))</x:f>
      </x:c>
      <x:c r="I45" s="15"/>
      <x:c r="J45" s="15"/>
      <x:c r="K45" s="15"/>
      <x:c r="L45" s="15"/>
      <x:c r="M45" s="17" t="str">
        <x:v>Є практичні значення</x:v>
      </x:c>
    </x:row>
    <x:row r="46" ht="25" customHeight="1">
      <x:c r="A46" s="18" t="str">
        <x:v>ПВ1 / ПВ1нг / ПВ1нгд</x:v>
      </x:c>
      <x:c r="B46" s="19" t="n">
        <x:v>1</x:v>
      </x:c>
      <x:c r="C46" s="18" t="str">
        <x:v>Довідкові</x:v>
      </x:c>
      <x:c r="D46" s="20"/>
      <x:c r="E46" s="20"/>
      <x:c r="F46" s="20" t="n">
        <x:v>350</x:v>
      </x:c>
      <x:c r="G46" s="20" t="n">
        <x:v>20</x:v>
      </x:c>
      <x:c r="H46" s="20" t="n">
        <x:f>IF(F46="","",ROUND(F46/2,0))</x:f>
        <x:v>175</x:v>
      </x:c>
      <x:c r="I46" s="21" t="n">
        <x:v>1.25</x:v>
      </x:c>
      <x:c r="J46" s="21" t="n">
        <x:v>2.4</x:v>
      </x:c>
      <x:c r="K46" s="21"/>
      <x:c r="L46" s="21"/>
      <x:c r="M46" s="22" t="str">
        <x:v>IMG_3850.JPG</x:v>
      </x:c>
    </x:row>
    <x:row r="47" ht="25" customHeight="1">
      <x:c r="A47" s="10" t="str">
        <x:v>ПВ1 / ПВ1нг / ПВ1нгд</x:v>
      </x:c>
      <x:c r="B47" s="11" t="n">
        <x:v>1</x:v>
      </x:c>
      <x:c r="C47" s="23" t="str">
        <x:v>Практичні</x:v>
      </x:c>
      <x:c r="D47" s="24"/>
      <x:c r="E47" s="24"/>
      <x:c r="F47" s="24"/>
      <x:c r="G47" s="14" t="n">
        <x:v>20</x:v>
      </x:c>
      <x:c r="H47" s="14" t="str">
        <x:f>IF(F47="","",ROUND(F47/2,0))</x:f>
      </x:c>
      <x:c r="I47" s="15"/>
      <x:c r="J47" s="15"/>
      <x:c r="K47" s="15"/>
      <x:c r="L47" s="15"/>
      <x:c r="M47" s="17" t="str">
        <x:v>Ще немає заміру</x:v>
      </x:c>
    </x:row>
    <x:row r="48" ht="25" customHeight="1">
      <x:c r="A48" s="10" t="str">
        <x:v>ПВ1 / ПВ1нг / ПВ1нгд</x:v>
      </x:c>
      <x:c r="B48" s="11" t="n">
        <x:v>1</x:v>
      </x:c>
      <x:c r="C48" s="25" t="str">
        <x:v>Прогнозовані</x:v>
      </x:c>
      <x:c r="D48" s="26" t="n">
        <x:v>59</x:v>
      </x:c>
      <x:c r="E48" s="26"/>
      <x:c r="F48" s="26" t="n">
        <x:v>373</x:v>
      </x:c>
      <x:c r="G48" s="14" t="n">
        <x:v>20</x:v>
      </x:c>
      <x:c r="H48" s="14" t="n">
        <x:f>IF(F48="","",ROUND(F48/2,0))</x:f>
        <x:v>187</x:v>
      </x:c>
      <x:c r="I48" s="15"/>
      <x:c r="J48" s="15"/>
      <x:c r="K48" s="15"/>
      <x:c r="L48" s="15" t="n">
        <x:v>2.55</x:v>
      </x:c>
      <x:c r="M48" s="17" t="str">
        <x:v>DRAW_1.JPG</x:v>
      </x:c>
    </x:row>
    <x:row r="49" ht="25" customHeight="1">
      <x:c r="A49" s="18" t="str">
        <x:v>ПВ1 / ПВ1нг / ПВ1нгд</x:v>
      </x:c>
      <x:c r="B49" s="19" t="n">
        <x:v>1.5</x:v>
      </x:c>
      <x:c r="C49" s="18" t="str">
        <x:v>Довідкові</x:v>
      </x:c>
      <x:c r="D49" s="20"/>
      <x:c r="E49" s="20"/>
      <x:c r="F49" s="20" t="n">
        <x:v>300</x:v>
      </x:c>
      <x:c r="G49" s="20" t="n">
        <x:v>20</x:v>
      </x:c>
      <x:c r="H49" s="20" t="n">
        <x:f>IF(F49="","",ROUND(F49/2,0))</x:f>
        <x:v>150</x:v>
      </x:c>
      <x:c r="I49" s="21" t="n">
        <x:v>1.45</x:v>
      </x:c>
      <x:c r="J49" s="21" t="n">
        <x:v>2.8</x:v>
      </x:c>
      <x:c r="K49" s="21"/>
      <x:c r="L49" s="21"/>
      <x:c r="M49" s="22" t="str">
        <x:v>IMG_3850.JPG</x:v>
      </x:c>
    </x:row>
    <x:row r="50" ht="25" customHeight="1">
      <x:c r="A50" s="10" t="str">
        <x:v>ПВ1 / ПВ1нг / ПВ1нгд</x:v>
      </x:c>
      <x:c r="B50" s="11" t="n">
        <x:v>1.5</x:v>
      </x:c>
      <x:c r="C50" s="23" t="str">
        <x:v>Практичні</x:v>
      </x:c>
      <x:c r="D50" s="24" t="n">
        <x:v>75</x:v>
      </x:c>
      <x:c r="E50" s="24"/>
      <x:c r="F50" s="24" t="n">
        <x:v>320</x:v>
      </x:c>
      <x:c r="G50" s="14" t="n">
        <x:v>20</x:v>
      </x:c>
      <x:c r="H50" s="14" t="n">
        <x:f>IF(F50="","",ROUND(F50/2,0))</x:f>
        <x:v>160</x:v>
      </x:c>
      <x:c r="I50" s="15" t="n">
        <x:v>1.45</x:v>
      </x:c>
      <x:c r="J50" s="15" t="n">
        <x:v>2.8</x:v>
      </x:c>
      <x:c r="K50" s="15" t="n">
        <x:v>1.37</x:v>
      </x:c>
      <x:c r="L50" s="15" t="n">
        <x:v>2.85</x:v>
      </x:c>
      <x:c r="M50" s="17" t="str">
        <x:v>DRAW_1.JPG</x:v>
      </x:c>
    </x:row>
    <x:row r="51" ht="25" customHeight="1">
      <x:c r="A51" s="10" t="str">
        <x:v>ПВ1 / ПВ1нг / ПВ1нгд</x:v>
      </x:c>
      <x:c r="B51" s="11" t="n">
        <x:v>1.5</x:v>
      </x:c>
      <x:c r="C51" s="25" t="str">
        <x:v>Прогнозовані</x:v>
      </x:c>
      <x:c r="D51" s="26"/>
      <x:c r="E51" s="26"/>
      <x:c r="F51" s="26"/>
      <x:c r="G51" s="14" t="n">
        <x:v>20</x:v>
      </x:c>
      <x:c r="H51" s="14" t="str">
        <x:f>IF(F51="","",ROUND(F51/2,0))</x:f>
      </x:c>
      <x:c r="I51" s="15"/>
      <x:c r="J51" s="15"/>
      <x:c r="K51" s="15"/>
      <x:c r="L51" s="15"/>
      <x:c r="M51" s="17" t="str">
        <x:v>Є практичні значення</x:v>
      </x:c>
    </x:row>
    <x:row r="52" ht="25" customHeight="1">
      <x:c r="A52" s="18" t="str">
        <x:v>ПВ1 / ПВ1нг / ПВ1нгд</x:v>
      </x:c>
      <x:c r="B52" s="19" t="n">
        <x:v>2.5</x:v>
      </x:c>
      <x:c r="C52" s="18" t="str">
        <x:v>Довідкові</x:v>
      </x:c>
      <x:c r="D52" s="20"/>
      <x:c r="E52" s="20"/>
      <x:c r="F52" s="20" t="n">
        <x:v>250</x:v>
      </x:c>
      <x:c r="G52" s="20" t="n">
        <x:v>20</x:v>
      </x:c>
      <x:c r="H52" s="20" t="n">
        <x:f>IF(F52="","",ROUND(F52/2,0))</x:f>
        <x:v>125</x:v>
      </x:c>
      <x:c r="I52" s="21" t="n">
        <x:v>1.85</x:v>
      </x:c>
      <x:c r="J52" s="21" t="n">
        <x:v>3.4</x:v>
      </x:c>
      <x:c r="K52" s="21"/>
      <x:c r="L52" s="21"/>
      <x:c r="M52" s="22" t="str">
        <x:v>IMG_3850.JPG</x:v>
      </x:c>
    </x:row>
    <x:row r="53" ht="25" customHeight="1">
      <x:c r="A53" s="10" t="str">
        <x:v>ПВ1 / ПВ1нг / ПВ1нгд</x:v>
      </x:c>
      <x:c r="B53" s="11" t="n">
        <x:v>2.5</x:v>
      </x:c>
      <x:c r="C53" s="23" t="str">
        <x:v>Практичні</x:v>
      </x:c>
      <x:c r="D53" s="24" t="n">
        <x:v>50</x:v>
      </x:c>
      <x:c r="E53" s="24"/>
      <x:c r="F53" s="24" t="n">
        <x:v>150</x:v>
      </x:c>
      <x:c r="G53" s="14" t="n">
        <x:v>20</x:v>
      </x:c>
      <x:c r="H53" s="14" t="n">
        <x:f>IF(F53="","",ROUND(F53/2,0))</x:f>
        <x:v>75</x:v>
      </x:c>
      <x:c r="I53" s="15" t="n">
        <x:v>1.8</x:v>
      </x:c>
      <x:c r="J53" s="15" t="n">
        <x:v>3.4</x:v>
      </x:c>
      <x:c r="K53" s="15" t="n">
        <x:v>1.75</x:v>
      </x:c>
      <x:c r="L53" s="15" t="n">
        <x:v>3.55</x:v>
      </x:c>
      <x:c r="M53" s="17" t="str">
        <x:v>DRAW_1.JPG</x:v>
      </x:c>
    </x:row>
    <x:row r="54" ht="25" customHeight="1">
      <x:c r="A54" s="10" t="str">
        <x:v>ПВ1 / ПВ1нг / ПВ1нгд</x:v>
      </x:c>
      <x:c r="B54" s="11" t="n">
        <x:v>2.5</x:v>
      </x:c>
      <x:c r="C54" s="25" t="str">
        <x:v>Прогнозовані</x:v>
      </x:c>
      <x:c r="D54" s="26"/>
      <x:c r="E54" s="26"/>
      <x:c r="F54" s="26"/>
      <x:c r="G54" s="14" t="n">
        <x:v>20</x:v>
      </x:c>
      <x:c r="H54" s="14" t="str">
        <x:f>IF(F54="","",ROUND(F54/2,0))</x:f>
      </x:c>
      <x:c r="I54" s="15"/>
      <x:c r="J54" s="15"/>
      <x:c r="K54" s="15"/>
      <x:c r="L54" s="15"/>
      <x:c r="M54" s="17" t="str">
        <x:v>Є практичні значення</x:v>
      </x:c>
    </x:row>
    <x:row r="55" ht="25" customHeight="1">
      <x:c r="A55" s="18" t="str">
        <x:v>ПВ1 / ПВ1нг / ПВ1нгд</x:v>
      </x:c>
      <x:c r="B55" s="19" t="n">
        <x:v>4</x:v>
      </x:c>
      <x:c r="C55" s="18" t="str">
        <x:v>Довідкові</x:v>
      </x:c>
      <x:c r="D55" s="20"/>
      <x:c r="E55" s="20"/>
      <x:c r="F55" s="20" t="n">
        <x:v>160</x:v>
      </x:c>
      <x:c r="G55" s="20" t="n">
        <x:v>20</x:v>
      </x:c>
      <x:c r="H55" s="20" t="n">
        <x:f>IF(F55="","",ROUND(F55/2,0))</x:f>
        <x:v>80</x:v>
      </x:c>
      <x:c r="I55" s="21" t="n">
        <x:v>2.3</x:v>
      </x:c>
      <x:c r="J55" s="21" t="n">
        <x:v>3.8</x:v>
      </x:c>
      <x:c r="K55" s="21"/>
      <x:c r="L55" s="21"/>
      <x:c r="M55" s="22" t="str">
        <x:v>IMG_3850.JPG</x:v>
      </x:c>
    </x:row>
    <x:row r="56" ht="25" customHeight="1">
      <x:c r="A56" s="10" t="str">
        <x:v>ПВ1 / ПВ1нг / ПВ1нгд</x:v>
      </x:c>
      <x:c r="B56" s="11" t="n">
        <x:v>4</x:v>
      </x:c>
      <x:c r="C56" s="23" t="str">
        <x:v>Практичні</x:v>
      </x:c>
      <x:c r="D56" s="24"/>
      <x:c r="E56" s="24"/>
      <x:c r="F56" s="24"/>
      <x:c r="G56" s="14" t="n">
        <x:v>20</x:v>
      </x:c>
      <x:c r="H56" s="14" t="str">
        <x:f>IF(F56="","",ROUND(F56/2,0))</x:f>
      </x:c>
      <x:c r="I56" s="15"/>
      <x:c r="J56" s="15"/>
      <x:c r="K56" s="15"/>
      <x:c r="L56" s="15"/>
      <x:c r="M56" s="17" t="str">
        <x:v>Ще немає заміру</x:v>
      </x:c>
    </x:row>
    <x:row r="57" ht="25" customHeight="1">
      <x:c r="A57" s="10" t="str">
        <x:v>ПВ1 / ПВ1нг / ПВ1нгд</x:v>
      </x:c>
      <x:c r="B57" s="11" t="n">
        <x:v>4</x:v>
      </x:c>
      <x:c r="C57" s="25" t="str">
        <x:v>Прогнозовані</x:v>
      </x:c>
      <x:c r="D57" s="26" t="n">
        <x:v>32</x:v>
      </x:c>
      <x:c r="E57" s="26"/>
      <x:c r="F57" s="26" t="n">
        <x:v>96</x:v>
      </x:c>
      <x:c r="G57" s="14" t="n">
        <x:v>20</x:v>
      </x:c>
      <x:c r="H57" s="14" t="n">
        <x:f>IF(F57="","",ROUND(F57/2,0))</x:f>
        <x:v>48</x:v>
      </x:c>
      <x:c r="I57" s="15"/>
      <x:c r="J57" s="15"/>
      <x:c r="K57" s="15"/>
      <x:c r="L57" s="15" t="n">
        <x:v>3.95</x:v>
      </x:c>
      <x:c r="M57" s="17" t="str">
        <x:v>DRAW_1.JPG</x:v>
      </x:c>
    </x:row>
    <x:row r="58" ht="25" customHeight="1">
      <x:c r="A58" s="18" t="str">
        <x:v>ПВ1 / ПВ1нг / ПВ1нгд</x:v>
      </x:c>
      <x:c r="B58" s="19" t="n">
        <x:v>6</x:v>
      </x:c>
      <x:c r="C58" s="18" t="str">
        <x:v>Довідкові</x:v>
      </x:c>
      <x:c r="D58" s="20"/>
      <x:c r="E58" s="20"/>
      <x:c r="F58" s="20" t="n">
        <x:v>160</x:v>
      </x:c>
      <x:c r="G58" s="20" t="n">
        <x:v>20</x:v>
      </x:c>
      <x:c r="H58" s="20" t="n">
        <x:f>IF(F58="","",ROUND(F58/2,0))</x:f>
        <x:v>80</x:v>
      </x:c>
      <x:c r="I58" s="21" t="n">
        <x:v>2.8</x:v>
      </x:c>
      <x:c r="J58" s="21" t="n">
        <x:v>4.4</x:v>
      </x:c>
      <x:c r="K58" s="21"/>
      <x:c r="L58" s="21"/>
      <x:c r="M58" s="22" t="str">
        <x:v>IMG_3850.JPG</x:v>
      </x:c>
    </x:row>
    <x:row r="59" ht="25" customHeight="1">
      <x:c r="A59" s="10" t="str">
        <x:v>ПВ1 / ПВ1нг / ПВ1нгд</x:v>
      </x:c>
      <x:c r="B59" s="11" t="n">
        <x:v>6</x:v>
      </x:c>
      <x:c r="C59" s="23" t="str">
        <x:v>Практичні</x:v>
      </x:c>
      <x:c r="D59" s="24"/>
      <x:c r="E59" s="24"/>
      <x:c r="F59" s="24"/>
      <x:c r="G59" s="14" t="n">
        <x:v>20</x:v>
      </x:c>
      <x:c r="H59" s="14" t="str">
        <x:f>IF(F59="","",ROUND(F59/2,0))</x:f>
      </x:c>
      <x:c r="I59" s="15"/>
      <x:c r="J59" s="15"/>
      <x:c r="K59" s="15"/>
      <x:c r="L59" s="15"/>
      <x:c r="M59" s="17" t="str">
        <x:v>Ще немає заміру</x:v>
      </x:c>
    </x:row>
    <x:row r="60" ht="25" customHeight="1">
      <x:c r="A60" s="10" t="str">
        <x:v>ПВ1 / ПВ1нг / ПВ1нгд</x:v>
      </x:c>
      <x:c r="B60" s="11" t="n">
        <x:v>6</x:v>
      </x:c>
      <x:c r="C60" s="25" t="str">
        <x:v>Прогнозовані</x:v>
      </x:c>
      <x:c r="D60" s="26" t="n">
        <x:v>38</x:v>
      </x:c>
      <x:c r="E60" s="26"/>
      <x:c r="F60" s="26" t="n">
        <x:v>96</x:v>
      </x:c>
      <x:c r="G60" s="14" t="n">
        <x:v>20</x:v>
      </x:c>
      <x:c r="H60" s="14" t="n">
        <x:f>IF(F60="","",ROUND(F60/2,0))</x:f>
        <x:v>48</x:v>
      </x:c>
      <x:c r="I60" s="15"/>
      <x:c r="J60" s="15"/>
      <x:c r="K60" s="15"/>
      <x:c r="L60" s="15" t="n">
        <x:v>4.55</x:v>
      </x:c>
      <x:c r="M60" s="17" t="str">
        <x:v>DRAW_1.JPG</x:v>
      </x:c>
    </x:row>
    <x:row r="61" ht="25" customHeight="1">
      <x:c r="A61" s="18" t="str">
        <x:v>ПВ3 / ПВ3нг / ПВ3нгд</x:v>
      </x:c>
      <x:c r="B61" s="19" t="n">
        <x:v>0.5</x:v>
      </x:c>
      <x:c r="C61" s="18" t="str">
        <x:v>Довідкові</x:v>
      </x:c>
      <x:c r="D61" s="20"/>
      <x:c r="E61" s="20"/>
      <x:c r="F61" s="20" t="n">
        <x:v>400</x:v>
      </x:c>
      <x:c r="G61" s="20" t="n">
        <x:v>20</x:v>
      </x:c>
      <x:c r="H61" s="20" t="n">
        <x:f>IF(F61="","",ROUND(F61/2,0))</x:f>
        <x:v>200</x:v>
      </x:c>
      <x:c r="I61" s="21" t="n">
        <x:v>1.1</x:v>
      </x:c>
      <x:c r="J61" s="21" t="n">
        <x:v>2.2</x:v>
      </x:c>
      <x:c r="K61" s="21"/>
      <x:c r="L61" s="21"/>
      <x:c r="M61" s="22" t="str">
        <x:v>IMG_3850.JPG</x:v>
      </x:c>
    </x:row>
    <x:row r="62" ht="25" customHeight="1">
      <x:c r="A62" s="10" t="str">
        <x:v>ПВ3 / ПВ3нг / ПВ3нгд</x:v>
      </x:c>
      <x:c r="B62" s="11" t="n">
        <x:v>0.5</x:v>
      </x:c>
      <x:c r="C62" s="23" t="str">
        <x:v>Практичні</x:v>
      </x:c>
      <x:c r="D62" s="24" t="n">
        <x:v>58</x:v>
      </x:c>
      <x:c r="E62" s="24"/>
      <x:c r="F62" s="24" t="n">
        <x:v>350</x:v>
      </x:c>
      <x:c r="G62" s="14" t="n">
        <x:v>20</x:v>
      </x:c>
      <x:c r="H62" s="14" t="n">
        <x:f>IF(F62="","",ROUND(F62/2,0))</x:f>
        <x:v>175</x:v>
      </x:c>
      <x:c r="I62" s="15" t="n">
        <x:v>0.95</x:v>
      </x:c>
      <x:c r="J62" s="15" t="n">
        <x:v>2.2</x:v>
      </x:c>
      <x:c r="K62" s="15" t="n">
        <x:v>1.1</x:v>
      </x:c>
      <x:c r="L62" s="15" t="n">
        <x:v>2.25</x:v>
      </x:c>
      <x:c r="M62" s="17" t="str">
        <x:v>DRAW_5.JPG</x:v>
      </x:c>
    </x:row>
    <x:row r="63" ht="25" customHeight="1">
      <x:c r="A63" s="10" t="str">
        <x:v>ПВ3 / ПВ3нг / ПВ3нгд</x:v>
      </x:c>
      <x:c r="B63" s="11" t="n">
        <x:v>0.5</x:v>
      </x:c>
      <x:c r="C63" s="25" t="str">
        <x:v>Прогнозовані</x:v>
      </x:c>
      <x:c r="D63" s="26"/>
      <x:c r="E63" s="26"/>
      <x:c r="F63" s="26"/>
      <x:c r="G63" s="14" t="n">
        <x:v>20</x:v>
      </x:c>
      <x:c r="H63" s="14" t="str">
        <x:f>IF(F63="","",ROUND(F63/2,0))</x:f>
      </x:c>
      <x:c r="I63" s="15"/>
      <x:c r="J63" s="15"/>
      <x:c r="K63" s="15"/>
      <x:c r="L63" s="15"/>
      <x:c r="M63" s="17" t="str">
        <x:v>Є практичні значення</x:v>
      </x:c>
    </x:row>
    <x:row r="64" ht="25" customHeight="1">
      <x:c r="A64" s="18" t="str">
        <x:v>ПВ3 / ПВ3нг / ПВ3нгд</x:v>
      </x:c>
      <x:c r="B64" s="19" t="n">
        <x:v>0.75</x:v>
      </x:c>
      <x:c r="C64" s="18" t="str">
        <x:v>Довідкові</x:v>
      </x:c>
      <x:c r="D64" s="20"/>
      <x:c r="E64" s="20"/>
      <x:c r="F64" s="20" t="n">
        <x:v>350</x:v>
      </x:c>
      <x:c r="G64" s="20" t="n">
        <x:v>20</x:v>
      </x:c>
      <x:c r="H64" s="20" t="n">
        <x:f>IF(F64="","",ROUND(F64/2,0))</x:f>
        <x:v>175</x:v>
      </x:c>
      <x:c r="I64" s="21" t="n">
        <x:v>1.25</x:v>
      </x:c>
      <x:c r="J64" s="21" t="n">
        <x:v>2.4</x:v>
      </x:c>
      <x:c r="K64" s="21"/>
      <x:c r="L64" s="21"/>
      <x:c r="M64" s="22" t="str">
        <x:v>IMG_3850.JPG</x:v>
      </x:c>
    </x:row>
    <x:row r="65" ht="25" customHeight="1">
      <x:c r="A65" s="10" t="str">
        <x:v>ПВ3 / ПВ3нг / ПВ3нгд</x:v>
      </x:c>
      <x:c r="B65" s="11" t="n">
        <x:v>0.75</x:v>
      </x:c>
      <x:c r="C65" s="23" t="str">
        <x:v>Практичні</x:v>
      </x:c>
      <x:c r="D65" s="24"/>
      <x:c r="E65" s="24"/>
      <x:c r="F65" s="24"/>
      <x:c r="G65" s="14" t="n">
        <x:v>20</x:v>
      </x:c>
      <x:c r="H65" s="14" t="str">
        <x:f>IF(F65="","",ROUND(F65/2,0))</x:f>
      </x:c>
      <x:c r="I65" s="15" t="n">
        <x:v>1.25</x:v>
      </x:c>
      <x:c r="J65" s="15" t="n">
        <x:v>2.4</x:v>
      </x:c>
      <x:c r="K65" s="15" t="n">
        <x:v>1.25</x:v>
      </x:c>
      <x:c r="L65" s="15" t="n">
        <x:v>2.5</x:v>
      </x:c>
      <x:c r="M65" s="17" t="str">
        <x:v>DRAW_5.JPG</x:v>
      </x:c>
    </x:row>
    <x:row r="66" ht="25" customHeight="1">
      <x:c r="A66" s="10" t="str">
        <x:v>ПВ3 / ПВ3нг / ПВ3нгд</x:v>
      </x:c>
      <x:c r="B66" s="11" t="n">
        <x:v>0.75</x:v>
      </x:c>
      <x:c r="C66" s="25" t="str">
        <x:v>Прогнозовані</x:v>
      </x:c>
      <x:c r="D66" s="26" t="n">
        <x:v>55</x:v>
      </x:c>
      <x:c r="E66" s="26"/>
      <x:c r="F66" s="26" t="n">
        <x:v>317</x:v>
      </x:c>
      <x:c r="G66" s="14" t="n">
        <x:v>20</x:v>
      </x:c>
      <x:c r="H66" s="14" t="n">
        <x:f>IF(F66="","",ROUND(F66/2,0))</x:f>
        <x:v>159</x:v>
      </x:c>
      <x:c r="I66" s="15"/>
      <x:c r="J66" s="15"/>
      <x:c r="K66" s="15"/>
      <x:c r="L66" s="15"/>
      <x:c r="M66" s="17" t="str">
        <x:v>DRAW_5.JPG</x:v>
      </x:c>
    </x:row>
    <x:row r="67" ht="25" customHeight="1">
      <x:c r="A67" s="18" t="str">
        <x:v>ПВ3 / ПВ3нг / ПВ3нгд</x:v>
      </x:c>
      <x:c r="B67" s="19" t="n">
        <x:v>1</x:v>
      </x:c>
      <x:c r="C67" s="18" t="str">
        <x:v>Довідкові</x:v>
      </x:c>
      <x:c r="D67" s="20"/>
      <x:c r="E67" s="20"/>
      <x:c r="F67" s="20" t="n">
        <x:v>300</x:v>
      </x:c>
      <x:c r="G67" s="20" t="n">
        <x:v>20</x:v>
      </x:c>
      <x:c r="H67" s="20" t="n">
        <x:f>IF(F67="","",ROUND(F67/2,0))</x:f>
        <x:v>150</x:v>
      </x:c>
      <x:c r="I67" s="21" t="n">
        <x:v>1.3</x:v>
      </x:c>
      <x:c r="J67" s="21" t="n">
        <x:v>2.4</x:v>
      </x:c>
      <x:c r="K67" s="21"/>
      <x:c r="L67" s="21"/>
      <x:c r="M67" s="22" t="str">
        <x:v>IMG_3850.JPG</x:v>
      </x:c>
    </x:row>
    <x:row r="68" ht="25" customHeight="1">
      <x:c r="A68" s="10" t="str">
        <x:v>ПВ3 / ПВ3нг / ПВ3нгд</x:v>
      </x:c>
      <x:c r="B68" s="11" t="n">
        <x:v>1</x:v>
      </x:c>
      <x:c r="C68" s="23" t="str">
        <x:v>Практичні</x:v>
      </x:c>
      <x:c r="D68" s="24"/>
      <x:c r="E68" s="24"/>
      <x:c r="F68" s="24"/>
      <x:c r="G68" s="14" t="n">
        <x:v>20</x:v>
      </x:c>
      <x:c r="H68" s="14" t="str">
        <x:f>IF(F68="","",ROUND(F68/2,0))</x:f>
      </x:c>
      <x:c r="I68" s="15" t="n">
        <x:v>1.35</x:v>
      </x:c>
      <x:c r="J68" s="15" t="n">
        <x:v>2.2</x:v>
      </x:c>
      <x:c r="K68" s="15"/>
      <x:c r="L68" s="15" t="n">
        <x:v>2.5</x:v>
      </x:c>
      <x:c r="M68" s="17" t="str">
        <x:v>DRAW_5.JPG</x:v>
      </x:c>
    </x:row>
    <x:row r="69" ht="25" customHeight="1">
      <x:c r="A69" s="10" t="str">
        <x:v>ПВ3 / ПВ3нг / ПВ3нгд</x:v>
      </x:c>
      <x:c r="B69" s="11" t="n">
        <x:v>1</x:v>
      </x:c>
      <x:c r="C69" s="25" t="str">
        <x:v>Прогнозовані</x:v>
      </x:c>
      <x:c r="D69" s="26" t="n">
        <x:v>49</x:v>
      </x:c>
      <x:c r="E69" s="26"/>
      <x:c r="F69" s="26" t="n">
        <x:v>281</x:v>
      </x:c>
      <x:c r="G69" s="14" t="n">
        <x:v>20</x:v>
      </x:c>
      <x:c r="H69" s="14" t="n">
        <x:f>IF(F69="","",ROUND(F69/2,0))</x:f>
        <x:v>141</x:v>
      </x:c>
      <x:c r="I69" s="15"/>
      <x:c r="J69" s="15"/>
      <x:c r="K69" s="15"/>
      <x:c r="L69" s="15"/>
      <x:c r="M69" s="17" t="str">
        <x:v>DRAW_5.JPG</x:v>
      </x:c>
    </x:row>
    <x:row r="70" ht="25" customHeight="1">
      <x:c r="A70" s="18" t="str">
        <x:v>ПВ3 / ПВ3нг / ПВ3нгд</x:v>
      </x:c>
      <x:c r="B70" s="19" t="n">
        <x:v>1.5</x:v>
      </x:c>
      <x:c r="C70" s="18" t="str">
        <x:v>Довідкові</x:v>
      </x:c>
      <x:c r="D70" s="20"/>
      <x:c r="E70" s="20"/>
      <x:c r="F70" s="20" t="n">
        <x:v>275</x:v>
      </x:c>
      <x:c r="G70" s="20" t="n">
        <x:v>20</x:v>
      </x:c>
      <x:c r="H70" s="20" t="n">
        <x:f>IF(F70="","",ROUND(F70/2,0))</x:f>
        <x:v>138</x:v>
      </x:c>
      <x:c r="I70" s="21" t="n">
        <x:v>1.6</x:v>
      </x:c>
      <x:c r="J70" s="21" t="n">
        <x:v>3</x:v>
      </x:c>
      <x:c r="K70" s="21"/>
      <x:c r="L70" s="21"/>
      <x:c r="M70" s="22" t="str">
        <x:v>IMG_3850.JPG</x:v>
      </x:c>
    </x:row>
    <x:row r="71" ht="25" customHeight="1">
      <x:c r="A71" s="10" t="str">
        <x:v>ПВ3 / ПВ3нг / ПВ3нгд</x:v>
      </x:c>
      <x:c r="B71" s="11" t="n">
        <x:v>1.5</x:v>
      </x:c>
      <x:c r="C71" s="23" t="str">
        <x:v>Практичні</x:v>
      </x:c>
      <x:c r="D71" s="24" t="n">
        <x:v>75</x:v>
      </x:c>
      <x:c r="E71" s="24"/>
      <x:c r="F71" s="24" t="n">
        <x:v>275</x:v>
      </x:c>
      <x:c r="G71" s="14" t="n">
        <x:v>20</x:v>
      </x:c>
      <x:c r="H71" s="14" t="n">
        <x:f>IF(F71="","",ROUND(F71/2,0))</x:f>
        <x:v>138</x:v>
      </x:c>
      <x:c r="I71" s="15" t="n">
        <x:v>1.65</x:v>
      </x:c>
      <x:c r="J71" s="15" t="n">
        <x:v>3</x:v>
      </x:c>
      <x:c r="K71" s="15" t="n">
        <x:v>1.5</x:v>
      </x:c>
      <x:c r="L71" s="15" t="n">
        <x:v>3.08</x:v>
      </x:c>
      <x:c r="M71" s="17" t="str">
        <x:v>DRAW_5.JPG</x:v>
      </x:c>
    </x:row>
    <x:row r="72" ht="25" customHeight="1">
      <x:c r="A72" s="10" t="str">
        <x:v>ПВ3 / ПВ3нг / ПВ3нгд</x:v>
      </x:c>
      <x:c r="B72" s="11" t="n">
        <x:v>1.5</x:v>
      </x:c>
      <x:c r="C72" s="25" t="str">
        <x:v>Прогнозовані</x:v>
      </x:c>
      <x:c r="D72" s="26"/>
      <x:c r="E72" s="26"/>
      <x:c r="F72" s="26"/>
      <x:c r="G72" s="14" t="n">
        <x:v>20</x:v>
      </x:c>
      <x:c r="H72" s="14" t="str">
        <x:f>IF(F72="","",ROUND(F72/2,0))</x:f>
      </x:c>
      <x:c r="I72" s="15"/>
      <x:c r="J72" s="15"/>
      <x:c r="K72" s="15"/>
      <x:c r="L72" s="15"/>
      <x:c r="M72" s="17" t="str">
        <x:v>Є практичні значення</x:v>
      </x:c>
    </x:row>
    <x:row r="73" ht="25" customHeight="1">
      <x:c r="A73" s="18" t="str">
        <x:v>ПВ3 / ПВ3нг / ПВ3нгд</x:v>
      </x:c>
      <x:c r="B73" s="19" t="n">
        <x:v>2.5</x:v>
      </x:c>
      <x:c r="C73" s="18" t="str">
        <x:v>Довідкові</x:v>
      </x:c>
      <x:c r="D73" s="20"/>
      <x:c r="E73" s="20"/>
      <x:c r="F73" s="20" t="n">
        <x:v>230</x:v>
      </x:c>
      <x:c r="G73" s="20" t="n">
        <x:v>20</x:v>
      </x:c>
      <x:c r="H73" s="20" t="n">
        <x:f>IF(F73="","",ROUND(F73/2,0))</x:f>
        <x:v>115</x:v>
      </x:c>
      <x:c r="I73" s="21" t="n">
        <x:v>2.15</x:v>
      </x:c>
      <x:c r="J73" s="21" t="n">
        <x:v>3.7</x:v>
      </x:c>
      <x:c r="K73" s="21"/>
      <x:c r="L73" s="21"/>
      <x:c r="M73" s="22" t="str">
        <x:v>IMG_3850.JPG</x:v>
      </x:c>
    </x:row>
    <x:row r="74" ht="25" customHeight="1">
      <x:c r="A74" s="10" t="str">
        <x:v>ПВ3 / ПВ3нг / ПВ3нгд</x:v>
      </x:c>
      <x:c r="B74" s="11" t="n">
        <x:v>2.5</x:v>
      </x:c>
      <x:c r="C74" s="23" t="str">
        <x:v>Практичні</x:v>
      </x:c>
      <x:c r="D74" s="24"/>
      <x:c r="E74" s="24"/>
      <x:c r="F74" s="24"/>
      <x:c r="G74" s="14" t="n">
        <x:v>20</x:v>
      </x:c>
      <x:c r="H74" s="14" t="str">
        <x:f>IF(F74="","",ROUND(F74/2,0))</x:f>
      </x:c>
      <x:c r="I74" s="15" t="n">
        <x:v>2.15</x:v>
      </x:c>
      <x:c r="J74" s="15" t="n">
        <x:v>3.7</x:v>
      </x:c>
      <x:c r="K74" s="15" t="n">
        <x:v>2</x:v>
      </x:c>
      <x:c r="L74" s="15" t="n">
        <x:v>3.83</x:v>
      </x:c>
      <x:c r="M74" s="17" t="str">
        <x:v>DRAW_5.JPG</x:v>
      </x:c>
    </x:row>
    <x:row r="75" ht="25" customHeight="1">
      <x:c r="A75" s="10" t="str">
        <x:v>ПВ3 / ПВ3нг / ПВ3нгд</x:v>
      </x:c>
      <x:c r="B75" s="11" t="n">
        <x:v>2.5</x:v>
      </x:c>
      <x:c r="C75" s="25" t="str">
        <x:v>Прогнозовані</x:v>
      </x:c>
      <x:c r="D75" s="26" t="n">
        <x:v>78</x:v>
      </x:c>
      <x:c r="E75" s="26"/>
      <x:c r="F75" s="26" t="n">
        <x:v>230</x:v>
      </x:c>
      <x:c r="G75" s="14" t="n">
        <x:v>20</x:v>
      </x:c>
      <x:c r="H75" s="14" t="n">
        <x:f>IF(F75="","",ROUND(F75/2,0))</x:f>
        <x:v>115</x:v>
      </x:c>
      <x:c r="I75" s="15"/>
      <x:c r="J75" s="15"/>
      <x:c r="K75" s="15"/>
      <x:c r="L75" s="15"/>
      <x:c r="M75" s="17" t="str">
        <x:v>DRAW_5.JPG</x:v>
      </x:c>
    </x:row>
    <x:row r="76" ht="25" customHeight="1">
      <x:c r="A76" s="18" t="str">
        <x:v>ПВ3 / ПВ3нг / ПВ3нгд</x:v>
      </x:c>
      <x:c r="B76" s="19" t="n">
        <x:v>4</x:v>
      </x:c>
      <x:c r="C76" s="18" t="str">
        <x:v>Довідкові</x:v>
      </x:c>
      <x:c r="D76" s="20"/>
      <x:c r="E76" s="20"/>
      <x:c r="F76" s="20" t="n">
        <x:v>150</x:v>
      </x:c>
      <x:c r="G76" s="20" t="n">
        <x:v>20</x:v>
      </x:c>
      <x:c r="H76" s="20" t="n">
        <x:f>IF(F76="","",ROUND(F76/2,0))</x:f>
        <x:v>75</x:v>
      </x:c>
      <x:c r="I76" s="21" t="n">
        <x:v>2.6</x:v>
      </x:c>
      <x:c r="J76" s="21" t="n">
        <x:v>4.2</x:v>
      </x:c>
      <x:c r="K76" s="21"/>
      <x:c r="L76" s="21"/>
      <x:c r="M76" s="22" t="str">
        <x:v>IMG_3850.JPG</x:v>
      </x:c>
    </x:row>
    <x:row r="77" ht="25" customHeight="1">
      <x:c r="A77" s="10" t="str">
        <x:v>ПВ3 / ПВ3нг / ПВ3нгд</x:v>
      </x:c>
      <x:c r="B77" s="11" t="n">
        <x:v>4</x:v>
      </x:c>
      <x:c r="C77" s="23" t="str">
        <x:v>Практичні</x:v>
      </x:c>
      <x:c r="D77" s="24"/>
      <x:c r="E77" s="24"/>
      <x:c r="F77" s="24"/>
      <x:c r="G77" s="14" t="n">
        <x:v>20</x:v>
      </x:c>
      <x:c r="H77" s="14" t="str">
        <x:f>IF(F77="","",ROUND(F77/2,0))</x:f>
      </x:c>
      <x:c r="I77" s="15" t="n">
        <x:v>2.65</x:v>
      </x:c>
      <x:c r="J77" s="15" t="n">
        <x:v>4.2</x:v>
      </x:c>
      <x:c r="K77" s="15" t="n">
        <x:v>2.5</x:v>
      </x:c>
      <x:c r="L77" s="15" t="n">
        <x:v>4.35</x:v>
      </x:c>
      <x:c r="M77" s="17" t="str">
        <x:v>DRAW_5.JPG</x:v>
      </x:c>
    </x:row>
    <x:row r="78" ht="25" customHeight="1">
      <x:c r="A78" s="10" t="str">
        <x:v>ПВ3 / ПВ3нг / ПВ3нгд</x:v>
      </x:c>
      <x:c r="B78" s="11" t="n">
        <x:v>4</x:v>
      </x:c>
      <x:c r="C78" s="25" t="str">
        <x:v>Прогнозовані</x:v>
      </x:c>
      <x:c r="D78" s="26" t="n">
        <x:v>60</x:v>
      </x:c>
      <x:c r="E78" s="26"/>
      <x:c r="F78" s="26" t="n">
        <x:v>150</x:v>
      </x:c>
      <x:c r="G78" s="14" t="n">
        <x:v>20</x:v>
      </x:c>
      <x:c r="H78" s="14" t="n">
        <x:f>IF(F78="","",ROUND(F78/2,0))</x:f>
        <x:v>75</x:v>
      </x:c>
      <x:c r="I78" s="15"/>
      <x:c r="J78" s="15"/>
      <x:c r="K78" s="15"/>
      <x:c r="L78" s="15"/>
      <x:c r="M78" s="17" t="str">
        <x:v>DRAW_5.JPG</x:v>
      </x:c>
    </x:row>
    <x:row r="79" ht="25" customHeight="1">
      <x:c r="A79" s="18" t="str">
        <x:v>ПВ3 / ПВ3нг / ПВ3нгд</x:v>
      </x:c>
      <x:c r="B79" s="19" t="n">
        <x:v>6</x:v>
      </x:c>
      <x:c r="C79" s="18" t="str">
        <x:v>Довідкові</x:v>
      </x:c>
      <x:c r="D79" s="20"/>
      <x:c r="E79" s="20"/>
      <x:c r="F79" s="20" t="n">
        <x:v>135</x:v>
      </x:c>
      <x:c r="G79" s="20" t="n">
        <x:v>20</x:v>
      </x:c>
      <x:c r="H79" s="20" t="n">
        <x:f>IF(F79="","",ROUND(F79/2,0))</x:f>
        <x:v>68</x:v>
      </x:c>
      <x:c r="I79" s="21" t="n">
        <x:v>3.1</x:v>
      </x:c>
      <x:c r="J79" s="21" t="n">
        <x:v>4.7</x:v>
      </x:c>
      <x:c r="K79" s="21"/>
      <x:c r="L79" s="21"/>
      <x:c r="M79" s="22" t="str">
        <x:v>IMG_3850.JPG</x:v>
      </x:c>
    </x:row>
    <x:row r="80" ht="25" customHeight="1">
      <x:c r="A80" s="10" t="str">
        <x:v>ПВ3 / ПВ3нг / ПВ3нгд</x:v>
      </x:c>
      <x:c r="B80" s="11" t="n">
        <x:v>6</x:v>
      </x:c>
      <x:c r="C80" s="23" t="str">
        <x:v>Практичні</x:v>
      </x:c>
      <x:c r="D80" s="24"/>
      <x:c r="E80" s="24"/>
      <x:c r="F80" s="24"/>
      <x:c r="G80" s="14" t="n">
        <x:v>20</x:v>
      </x:c>
      <x:c r="H80" s="14" t="str">
        <x:f>IF(F80="","",ROUND(F80/2,0))</x:f>
      </x:c>
      <x:c r="I80" s="15" t="n">
        <x:v>3.1</x:v>
      </x:c>
      <x:c r="J80" s="15" t="n">
        <x:v>4.7</x:v>
      </x:c>
      <x:c r="K80" s="15" t="n">
        <x:v>3</x:v>
      </x:c>
      <x:c r="L80" s="15" t="n">
        <x:v>4.82</x:v>
      </x:c>
      <x:c r="M80" s="17" t="str">
        <x:v>DRAW_5.JPG</x:v>
      </x:c>
    </x:row>
    <x:row r="81" ht="25" customHeight="1">
      <x:c r="A81" s="10" t="str">
        <x:v>ПВ3 / ПВ3нг / ПВ3нгд</x:v>
      </x:c>
      <x:c r="B81" s="11" t="n">
        <x:v>6</x:v>
      </x:c>
      <x:c r="C81" s="25" t="str">
        <x:v>Прогнозовані</x:v>
      </x:c>
      <x:c r="D81" s="26" t="n">
        <x:v>62</x:v>
      </x:c>
      <x:c r="E81" s="26"/>
      <x:c r="F81" s="26" t="n">
        <x:v>135</x:v>
      </x:c>
      <x:c r="G81" s="14" t="n">
        <x:v>20</x:v>
      </x:c>
      <x:c r="H81" s="14" t="n">
        <x:f>IF(F81="","",ROUND(F81/2,0))</x:f>
        <x:v>68</x:v>
      </x:c>
      <x:c r="I81" s="15"/>
      <x:c r="J81" s="15"/>
      <x:c r="K81" s="15"/>
      <x:c r="L81" s="15"/>
      <x:c r="M81" s="17" t="str">
        <x:v>DRAW_5.JPG</x:v>
      </x:c>
    </x:row>
    <x:row r="82" ht="25" customHeight="1">
      <x:c r="A82" s="18" t="str">
        <x:v>ПВ5 / ПВ5нг / ПВ5нгд</x:v>
      </x:c>
      <x:c r="B82" s="19" t="n">
        <x:v>0.5</x:v>
      </x:c>
      <x:c r="C82" s="18" t="str">
        <x:v>Довідкові</x:v>
      </x:c>
      <x:c r="D82" s="20"/>
      <x:c r="E82" s="20"/>
      <x:c r="F82" s="20" t="n">
        <x:v>400</x:v>
      </x:c>
      <x:c r="G82" s="20" t="n">
        <x:v>20</x:v>
      </x:c>
      <x:c r="H82" s="20" t="n">
        <x:f>IF(F82="","",ROUND(F82/2,0))</x:f>
        <x:v>200</x:v>
      </x:c>
      <x:c r="I82" s="21" t="n">
        <x:v>1.1</x:v>
      </x:c>
      <x:c r="J82" s="21" t="n">
        <x:v>2.2</x:v>
      </x:c>
      <x:c r="K82" s="21"/>
      <x:c r="L82" s="21"/>
      <x:c r="M82" s="22" t="str">
        <x:v>IMG_3850.JPG</x:v>
      </x:c>
    </x:row>
    <x:row r="83" ht="25" customHeight="1">
      <x:c r="A83" s="10" t="str">
        <x:v>ПВ5 / ПВ5нг / ПВ5нгд</x:v>
      </x:c>
      <x:c r="B83" s="11" t="n">
        <x:v>0.5</x:v>
      </x:c>
      <x:c r="C83" s="23" t="str">
        <x:v>Практичні</x:v>
      </x:c>
      <x:c r="D83" s="24"/>
      <x:c r="E83" s="24"/>
      <x:c r="F83" s="24"/>
      <x:c r="G83" s="14" t="n">
        <x:v>20</x:v>
      </x:c>
      <x:c r="H83" s="14" t="str">
        <x:f>IF(F83="","",ROUND(F83/2,0))</x:f>
      </x:c>
      <x:c r="I83" s="15"/>
      <x:c r="J83" s="15"/>
      <x:c r="K83" s="15"/>
      <x:c r="L83" s="15"/>
      <x:c r="M83" s="17" t="str">
        <x:v>Ще немає заміру</x:v>
      </x:c>
    </x:row>
    <x:row r="84" ht="25" customHeight="1">
      <x:c r="A84" s="10" t="str">
        <x:v>ПВ5 / ПВ5нг / ПВ5нгд</x:v>
      </x:c>
      <x:c r="B84" s="11" t="n">
        <x:v>0.5</x:v>
      </x:c>
      <x:c r="C84" s="25" t="str">
        <x:v>Прогнозовані</x:v>
      </x:c>
      <x:c r="D84" s="26"/>
      <x:c r="E84" s="26"/>
      <x:c r="F84" s="26"/>
      <x:c r="G84" s="14" t="n">
        <x:v>20</x:v>
      </x:c>
      <x:c r="H84" s="14" t="str">
        <x:f>IF(F84="","",ROUND(F84/2,0))</x:f>
      </x:c>
      <x:c r="I84" s="15"/>
      <x:c r="J84" s="15"/>
      <x:c r="K84" s="15"/>
      <x:c r="L84" s="15" t="n">
        <x:v>2.35</x:v>
      </x:c>
      <x:c r="M84" s="17" t="str">
        <x:v>Матриця + 0,15</x:v>
      </x:c>
    </x:row>
    <x:row r="85" ht="25" customHeight="1">
      <x:c r="A85" s="18" t="str">
        <x:v>ПВ5 / ПВ5нг / ПВ5нгд</x:v>
      </x:c>
      <x:c r="B85" s="19" t="n">
        <x:v>0.75</x:v>
      </x:c>
      <x:c r="C85" s="18" t="str">
        <x:v>Довідкові</x:v>
      </x:c>
      <x:c r="D85" s="20"/>
      <x:c r="E85" s="20"/>
      <x:c r="F85" s="20" t="n">
        <x:v>350</x:v>
      </x:c>
      <x:c r="G85" s="20" t="n">
        <x:v>20</x:v>
      </x:c>
      <x:c r="H85" s="20" t="n">
        <x:f>IF(F85="","",ROUND(F85/2,0))</x:f>
        <x:v>175</x:v>
      </x:c>
      <x:c r="I85" s="21" t="n">
        <x:v>1.25</x:v>
      </x:c>
      <x:c r="J85" s="21" t="n">
        <x:v>2.4</x:v>
      </x:c>
      <x:c r="K85" s="21"/>
      <x:c r="L85" s="21"/>
      <x:c r="M85" s="22" t="str">
        <x:v>IMG_3850.JPG</x:v>
      </x:c>
    </x:row>
    <x:row r="86" ht="25" customHeight="1">
      <x:c r="A86" s="10" t="str">
        <x:v>ПВ5 / ПВ5нг / ПВ5нгд</x:v>
      </x:c>
      <x:c r="B86" s="11" t="n">
        <x:v>0.75</x:v>
      </x:c>
      <x:c r="C86" s="23" t="str">
        <x:v>Практичні</x:v>
      </x:c>
      <x:c r="D86" s="24"/>
      <x:c r="E86" s="24"/>
      <x:c r="F86" s="24"/>
      <x:c r="G86" s="14" t="n">
        <x:v>20</x:v>
      </x:c>
      <x:c r="H86" s="14" t="str">
        <x:f>IF(F86="","",ROUND(F86/2,0))</x:f>
      </x:c>
      <x:c r="I86" s="15"/>
      <x:c r="J86" s="15"/>
      <x:c r="K86" s="15"/>
      <x:c r="L86" s="15"/>
      <x:c r="M86" s="17" t="str">
        <x:v>Ще немає заміру</x:v>
      </x:c>
    </x:row>
    <x:row r="87" ht="25" customHeight="1">
      <x:c r="A87" s="10" t="str">
        <x:v>ПВ5 / ПВ5нг / ПВ5нгд</x:v>
      </x:c>
      <x:c r="B87" s="11" t="n">
        <x:v>0.75</x:v>
      </x:c>
      <x:c r="C87" s="25" t="str">
        <x:v>Прогнозовані</x:v>
      </x:c>
      <x:c r="D87" s="26"/>
      <x:c r="E87" s="26"/>
      <x:c r="F87" s="26"/>
      <x:c r="G87" s="14" t="n">
        <x:v>20</x:v>
      </x:c>
      <x:c r="H87" s="14" t="str">
        <x:f>IF(F87="","",ROUND(F87/2,0))</x:f>
      </x:c>
      <x:c r="I87" s="15"/>
      <x:c r="J87" s="15"/>
      <x:c r="K87" s="15"/>
      <x:c r="L87" s="15" t="n">
        <x:v>2.55</x:v>
      </x:c>
      <x:c r="M87" s="17" t="str">
        <x:v>Матриця + 0,15</x:v>
      </x:c>
    </x:row>
    <x:row r="88" ht="25" customHeight="1">
      <x:c r="A88" s="18" t="str">
        <x:v>ПВ5 / ПВ5нг / ПВ5нгд</x:v>
      </x:c>
      <x:c r="B88" s="19" t="n">
        <x:v>1</x:v>
      </x:c>
      <x:c r="C88" s="18" t="str">
        <x:v>Довідкові</x:v>
      </x:c>
      <x:c r="D88" s="20"/>
      <x:c r="E88" s="20"/>
      <x:c r="F88" s="20" t="n">
        <x:v>300</x:v>
      </x:c>
      <x:c r="G88" s="20" t="n">
        <x:v>20</x:v>
      </x:c>
      <x:c r="H88" s="20" t="n">
        <x:f>IF(F88="","",ROUND(F88/2,0))</x:f>
        <x:v>150</x:v>
      </x:c>
      <x:c r="I88" s="21" t="n">
        <x:v>1.35</x:v>
      </x:c>
      <x:c r="J88" s="21" t="n">
        <x:v>2.4</x:v>
      </x:c>
      <x:c r="K88" s="21"/>
      <x:c r="L88" s="21"/>
      <x:c r="M88" s="22" t="str">
        <x:v>IMG_3850.JPG</x:v>
      </x:c>
    </x:row>
    <x:row r="89" ht="25" customHeight="1">
      <x:c r="A89" s="10" t="str">
        <x:v>ПВ5 / ПВ5нг / ПВ5нгд</x:v>
      </x:c>
      <x:c r="B89" s="11" t="n">
        <x:v>1</x:v>
      </x:c>
      <x:c r="C89" s="23" t="str">
        <x:v>Практичні</x:v>
      </x:c>
      <x:c r="D89" s="24"/>
      <x:c r="E89" s="24"/>
      <x:c r="F89" s="24"/>
      <x:c r="G89" s="14" t="n">
        <x:v>20</x:v>
      </x:c>
      <x:c r="H89" s="14" t="str">
        <x:f>IF(F89="","",ROUND(F89/2,0))</x:f>
      </x:c>
      <x:c r="I89" s="15"/>
      <x:c r="J89" s="15"/>
      <x:c r="K89" s="15"/>
      <x:c r="L89" s="15"/>
      <x:c r="M89" s="17" t="str">
        <x:v>Ще немає заміру</x:v>
      </x:c>
    </x:row>
    <x:row r="90" ht="25" customHeight="1">
      <x:c r="A90" s="10" t="str">
        <x:v>ПВ5 / ПВ5нг / ПВ5нгд</x:v>
      </x:c>
      <x:c r="B90" s="11" t="n">
        <x:v>1</x:v>
      </x:c>
      <x:c r="C90" s="25" t="str">
        <x:v>Прогнозовані</x:v>
      </x:c>
      <x:c r="D90" s="26"/>
      <x:c r="E90" s="26"/>
      <x:c r="F90" s="26"/>
      <x:c r="G90" s="14" t="n">
        <x:v>20</x:v>
      </x:c>
      <x:c r="H90" s="14" t="str">
        <x:f>IF(F90="","",ROUND(F90/2,0))</x:f>
      </x:c>
      <x:c r="I90" s="15"/>
      <x:c r="J90" s="15"/>
      <x:c r="K90" s="15"/>
      <x:c r="L90" s="15" t="n">
        <x:v>2.55</x:v>
      </x:c>
      <x:c r="M90" s="17" t="str">
        <x:v>Матриця + 0,15</x:v>
      </x:c>
    </x:row>
    <x:row r="91" ht="25" customHeight="1">
      <x:c r="A91" s="18" t="str">
        <x:v>ПВ5 / ПВ5нг / ПВ5нгд</x:v>
      </x:c>
      <x:c r="B91" s="19" t="n">
        <x:v>1.5</x:v>
      </x:c>
      <x:c r="C91" s="18" t="str">
        <x:v>Довідкові</x:v>
      </x:c>
      <x:c r="D91" s="20"/>
      <x:c r="E91" s="20"/>
      <x:c r="F91" s="20" t="n">
        <x:v>275</x:v>
      </x:c>
      <x:c r="G91" s="20" t="n">
        <x:v>20</x:v>
      </x:c>
      <x:c r="H91" s="20" t="n">
        <x:f>IF(F91="","",ROUND(F91/2,0))</x:f>
        <x:v>138</x:v>
      </x:c>
      <x:c r="I91" s="21" t="n">
        <x:v>1.6</x:v>
      </x:c>
      <x:c r="J91" s="21" t="n">
        <x:v>3</x:v>
      </x:c>
      <x:c r="K91" s="21"/>
      <x:c r="L91" s="21"/>
      <x:c r="M91" s="22" t="str">
        <x:v>IMG_3850.JPG</x:v>
      </x:c>
    </x:row>
    <x:row r="92" ht="25" customHeight="1">
      <x:c r="A92" s="10" t="str">
        <x:v>ПВ5 / ПВ5нг / ПВ5нгд</x:v>
      </x:c>
      <x:c r="B92" s="11" t="n">
        <x:v>1.5</x:v>
      </x:c>
      <x:c r="C92" s="23" t="str">
        <x:v>Практичні</x:v>
      </x:c>
      <x:c r="D92" s="24"/>
      <x:c r="E92" s="24"/>
      <x:c r="F92" s="24"/>
      <x:c r="G92" s="14" t="n">
        <x:v>20</x:v>
      </x:c>
      <x:c r="H92" s="14" t="str">
        <x:f>IF(F92="","",ROUND(F92/2,0))</x:f>
      </x:c>
      <x:c r="I92" s="15"/>
      <x:c r="J92" s="15"/>
      <x:c r="K92" s="15"/>
      <x:c r="L92" s="15"/>
      <x:c r="M92" s="17" t="str">
        <x:v>Ще немає заміру</x:v>
      </x:c>
    </x:row>
    <x:row r="93" ht="25" customHeight="1">
      <x:c r="A93" s="10" t="str">
        <x:v>ПВ5 / ПВ5нг / ПВ5нгд</x:v>
      </x:c>
      <x:c r="B93" s="11" t="n">
        <x:v>1.5</x:v>
      </x:c>
      <x:c r="C93" s="25" t="str">
        <x:v>Прогнозовані</x:v>
      </x:c>
      <x:c r="D93" s="26"/>
      <x:c r="E93" s="26"/>
      <x:c r="F93" s="26"/>
      <x:c r="G93" s="14" t="n">
        <x:v>20</x:v>
      </x:c>
      <x:c r="H93" s="14" t="str">
        <x:f>IF(F93="","",ROUND(F93/2,0))</x:f>
      </x:c>
      <x:c r="I93" s="15"/>
      <x:c r="J93" s="15"/>
      <x:c r="K93" s="15"/>
      <x:c r="L93" s="15" t="n">
        <x:v>3.15</x:v>
      </x:c>
      <x:c r="M93" s="17" t="str">
        <x:v>Матриця + 0,15</x:v>
      </x:c>
    </x:row>
    <x:row r="94" ht="25" customHeight="1">
      <x:c r="A94" s="18" t="str">
        <x:v>ПВ5 / ПВ5нг / ПВ5нгд</x:v>
      </x:c>
      <x:c r="B94" s="19" t="n">
        <x:v>2.5</x:v>
      </x:c>
      <x:c r="C94" s="18" t="str">
        <x:v>Довідкові</x:v>
      </x:c>
      <x:c r="D94" s="20"/>
      <x:c r="E94" s="20"/>
      <x:c r="F94" s="20" t="n">
        <x:v>250</x:v>
      </x:c>
      <x:c r="G94" s="20" t="n">
        <x:v>20</x:v>
      </x:c>
      <x:c r="H94" s="20" t="n">
        <x:f>IF(F94="","",ROUND(F94/2,0))</x:f>
        <x:v>125</x:v>
      </x:c>
      <x:c r="I94" s="21" t="n">
        <x:v>2.15</x:v>
      </x:c>
      <x:c r="J94" s="21" t="n">
        <x:v>3.7</x:v>
      </x:c>
      <x:c r="K94" s="21"/>
      <x:c r="L94" s="21"/>
      <x:c r="M94" s="22" t="str">
        <x:v>IMG_3850.JPG</x:v>
      </x:c>
    </x:row>
    <x:row r="95" ht="25" customHeight="1">
      <x:c r="A95" s="10" t="str">
        <x:v>ПВ5 / ПВ5нг / ПВ5нгд</x:v>
      </x:c>
      <x:c r="B95" s="11" t="n">
        <x:v>2.5</x:v>
      </x:c>
      <x:c r="C95" s="23" t="str">
        <x:v>Практичні</x:v>
      </x:c>
      <x:c r="D95" s="24"/>
      <x:c r="E95" s="24"/>
      <x:c r="F95" s="24"/>
      <x:c r="G95" s="14" t="n">
        <x:v>20</x:v>
      </x:c>
      <x:c r="H95" s="14" t="str">
        <x:f>IF(F95="","",ROUND(F95/2,0))</x:f>
      </x:c>
      <x:c r="I95" s="15"/>
      <x:c r="J95" s="15"/>
      <x:c r="K95" s="15"/>
      <x:c r="L95" s="15"/>
      <x:c r="M95" s="17" t="str">
        <x:v>Ще немає заміру</x:v>
      </x:c>
    </x:row>
    <x:row r="96" ht="25" customHeight="1">
      <x:c r="A96" s="10" t="str">
        <x:v>ПВ5 / ПВ5нг / ПВ5нгд</x:v>
      </x:c>
      <x:c r="B96" s="11" t="n">
        <x:v>2.5</x:v>
      </x:c>
      <x:c r="C96" s="25" t="str">
        <x:v>Прогнозовані</x:v>
      </x:c>
      <x:c r="D96" s="26"/>
      <x:c r="E96" s="26"/>
      <x:c r="F96" s="26"/>
      <x:c r="G96" s="14" t="n">
        <x:v>20</x:v>
      </x:c>
      <x:c r="H96" s="14" t="str">
        <x:f>IF(F96="","",ROUND(F96/2,0))</x:f>
      </x:c>
      <x:c r="I96" s="15"/>
      <x:c r="J96" s="15"/>
      <x:c r="K96" s="15"/>
      <x:c r="L96" s="15" t="n">
        <x:v>3.85</x:v>
      </x:c>
      <x:c r="M96" s="17" t="str">
        <x:v>Матриця + 0,15</x:v>
      </x:c>
    </x:row>
    <x:row r="97" ht="25" customHeight="1">
      <x:c r="A97" s="18" t="str">
        <x:v>ПВ5 / ПВ5нг / ПВ5нгд</x:v>
      </x:c>
      <x:c r="B97" s="19" t="n">
        <x:v>4</x:v>
      </x:c>
      <x:c r="C97" s="18" t="str">
        <x:v>Довідкові</x:v>
      </x:c>
      <x:c r="D97" s="20"/>
      <x:c r="E97" s="20"/>
      <x:c r="F97" s="20" t="n">
        <x:v>150</x:v>
      </x:c>
      <x:c r="G97" s="20" t="n">
        <x:v>20</x:v>
      </x:c>
      <x:c r="H97" s="20" t="n">
        <x:f>IF(F97="","",ROUND(F97/2,0))</x:f>
        <x:v>75</x:v>
      </x:c>
      <x:c r="I97" s="21" t="n">
        <x:v>2.6</x:v>
      </x:c>
      <x:c r="J97" s="21" t="n">
        <x:v>4.2</x:v>
      </x:c>
      <x:c r="K97" s="21"/>
      <x:c r="L97" s="21"/>
      <x:c r="M97" s="22" t="str">
        <x:v>IMG_3850.JPG</x:v>
      </x:c>
    </x:row>
    <x:row r="98" ht="25" customHeight="1">
      <x:c r="A98" s="10" t="str">
        <x:v>ПВ5 / ПВ5нг / ПВ5нгд</x:v>
      </x:c>
      <x:c r="B98" s="11" t="n">
        <x:v>4</x:v>
      </x:c>
      <x:c r="C98" s="23" t="str">
        <x:v>Практичні</x:v>
      </x:c>
      <x:c r="D98" s="24"/>
      <x:c r="E98" s="24"/>
      <x:c r="F98" s="24"/>
      <x:c r="G98" s="14" t="n">
        <x:v>20</x:v>
      </x:c>
      <x:c r="H98" s="14" t="str">
        <x:f>IF(F98="","",ROUND(F98/2,0))</x:f>
      </x:c>
      <x:c r="I98" s="15"/>
      <x:c r="J98" s="15"/>
      <x:c r="K98" s="15"/>
      <x:c r="L98" s="15"/>
      <x:c r="M98" s="17" t="str">
        <x:v>Ще немає заміру</x:v>
      </x:c>
    </x:row>
    <x:row r="99" ht="25" customHeight="1">
      <x:c r="A99" s="10" t="str">
        <x:v>ПВ5 / ПВ5нг / ПВ5нгд</x:v>
      </x:c>
      <x:c r="B99" s="11" t="n">
        <x:v>4</x:v>
      </x:c>
      <x:c r="C99" s="25" t="str">
        <x:v>Прогнозовані</x:v>
      </x:c>
      <x:c r="D99" s="26"/>
      <x:c r="E99" s="26"/>
      <x:c r="F99" s="26"/>
      <x:c r="G99" s="14" t="n">
        <x:v>20</x:v>
      </x:c>
      <x:c r="H99" s="14" t="str">
        <x:f>IF(F99="","",ROUND(F99/2,0))</x:f>
      </x:c>
      <x:c r="I99" s="15"/>
      <x:c r="J99" s="15"/>
      <x:c r="K99" s="15"/>
      <x:c r="L99" s="15" t="n">
        <x:v>4.35</x:v>
      </x:c>
      <x:c r="M99" s="17" t="str">
        <x:v>Матриця + 0,15</x:v>
      </x:c>
    </x:row>
    <x:row r="100" ht="25" customHeight="1">
      <x:c r="A100" s="18" t="str">
        <x:v>ПВ5 / ПВ5нг / ПВ5нгд</x:v>
      </x:c>
      <x:c r="B100" s="19" t="n">
        <x:v>6</x:v>
      </x:c>
      <x:c r="C100" s="18" t="str">
        <x:v>Довідкові</x:v>
      </x:c>
      <x:c r="D100" s="20"/>
      <x:c r="E100" s="20"/>
      <x:c r="F100" s="20" t="n">
        <x:v>135</x:v>
      </x:c>
      <x:c r="G100" s="20" t="n">
        <x:v>20</x:v>
      </x:c>
      <x:c r="H100" s="20" t="n">
        <x:f>IF(F100="","",ROUND(F100/2,0))</x:f>
        <x:v>68</x:v>
      </x:c>
      <x:c r="I100" s="21" t="n">
        <x:v>3.1</x:v>
      </x:c>
      <x:c r="J100" s="21" t="n">
        <x:v>4.7</x:v>
      </x:c>
      <x:c r="K100" s="21"/>
      <x:c r="L100" s="21"/>
      <x:c r="M100" s="22" t="str">
        <x:v>IMG_3850.JPG</x:v>
      </x:c>
    </x:row>
    <x:row r="101" ht="25" customHeight="1">
      <x:c r="A101" s="10" t="str">
        <x:v>ПВ5 / ПВ5нг / ПВ5нгд</x:v>
      </x:c>
      <x:c r="B101" s="11" t="n">
        <x:v>6</x:v>
      </x:c>
      <x:c r="C101" s="23" t="str">
        <x:v>Практичні</x:v>
      </x:c>
      <x:c r="D101" s="24"/>
      <x:c r="E101" s="24"/>
      <x:c r="F101" s="24"/>
      <x:c r="G101" s="14" t="n">
        <x:v>20</x:v>
      </x:c>
      <x:c r="H101" s="14" t="str">
        <x:f>IF(F101="","",ROUND(F101/2,0))</x:f>
      </x:c>
      <x:c r="I101" s="15"/>
      <x:c r="J101" s="15"/>
      <x:c r="K101" s="15"/>
      <x:c r="L101" s="15"/>
      <x:c r="M101" s="17" t="str">
        <x:v>Ще немає заміру</x:v>
      </x:c>
    </x:row>
    <x:row r="102" ht="25" customHeight="1">
      <x:c r="A102" s="10" t="str">
        <x:v>ПВ5 / ПВ5нг / ПВ5нгд</x:v>
      </x:c>
      <x:c r="B102" s="11" t="n">
        <x:v>6</x:v>
      </x:c>
      <x:c r="C102" s="25" t="str">
        <x:v>Прогнозовані</x:v>
      </x:c>
      <x:c r="D102" s="26"/>
      <x:c r="E102" s="26"/>
      <x:c r="F102" s="26"/>
      <x:c r="G102" s="14" t="n">
        <x:v>20</x:v>
      </x:c>
      <x:c r="H102" s="14" t="str">
        <x:f>IF(F102="","",ROUND(F102/2,0))</x:f>
      </x:c>
      <x:c r="I102" s="15"/>
      <x:c r="J102" s="15"/>
      <x:c r="K102" s="15"/>
      <x:c r="L102" s="15" t="n">
        <x:v>4.85</x:v>
      </x:c>
      <x:c r="M102" s="17" t="str">
        <x:v>Матриця + 0,15</x:v>
      </x:c>
    </x:row>
    <x:row r="103" ht="25" customHeight="1">
      <x:c r="A103" s="18" t="str">
        <x:v>ВВГз та споріднені марки, клас 3, 0,66 кВ</x:v>
      </x:c>
      <x:c r="B103" s="19" t="n">
        <x:v>1</x:v>
      </x:c>
      <x:c r="C103" s="18" t="str">
        <x:v>Довідкові</x:v>
      </x:c>
      <x:c r="D103" s="20"/>
      <x:c r="E103" s="20"/>
      <x:c r="F103" s="20" t="n">
        <x:v>330</x:v>
      </x:c>
      <x:c r="G103" s="20" t="n">
        <x:v>20</x:v>
      </x:c>
      <x:c r="H103" s="20" t="n">
        <x:f>IF(F103="","",ROUND(F103/2,0))</x:f>
        <x:v>165</x:v>
      </x:c>
      <x:c r="I103" s="21" t="n">
        <x:v>1.3</x:v>
      </x:c>
      <x:c r="J103" s="21" t="n">
        <x:v>2.4</x:v>
      </x:c>
      <x:c r="K103" s="21"/>
      <x:c r="L103" s="21"/>
      <x:c r="M103" s="22" t="str">
        <x:v>IMG_3851.JPG</x:v>
      </x:c>
    </x:row>
    <x:row r="104" ht="25" customHeight="1">
      <x:c r="A104" s="10" t="str">
        <x:v>ВВГз та споріднені марки, клас 3, 0,66 кВ</x:v>
      </x:c>
      <x:c r="B104" s="11" t="n">
        <x:v>1</x:v>
      </x:c>
      <x:c r="C104" s="23" t="str">
        <x:v>Практичні</x:v>
      </x:c>
      <x:c r="D104" s="24"/>
      <x:c r="E104" s="24"/>
      <x:c r="F104" s="24"/>
      <x:c r="G104" s="14" t="n">
        <x:v>20</x:v>
      </x:c>
      <x:c r="H104" s="14" t="str">
        <x:f>IF(F104="","",ROUND(F104/2,0))</x:f>
      </x:c>
      <x:c r="I104" s="15"/>
      <x:c r="J104" s="15"/>
      <x:c r="K104" s="15"/>
      <x:c r="L104" s="15"/>
      <x:c r="M104" s="17" t="str">
        <x:v>Ще немає заміру</x:v>
      </x:c>
    </x:row>
    <x:row r="105" ht="25" customHeight="1">
      <x:c r="A105" s="10" t="str">
        <x:v>ВВГз та споріднені марки, клас 3, 0,66 кВ</x:v>
      </x:c>
      <x:c r="B105" s="11" t="n">
        <x:v>1</x:v>
      </x:c>
      <x:c r="C105" s="25" t="str">
        <x:v>Прогнозовані</x:v>
      </x:c>
      <x:c r="D105" s="26"/>
      <x:c r="E105" s="26"/>
      <x:c r="F105" s="26"/>
      <x:c r="G105" s="14" t="n">
        <x:v>20</x:v>
      </x:c>
      <x:c r="H105" s="14" t="str">
        <x:f>IF(F105="","",ROUND(F105/2,0))</x:f>
      </x:c>
      <x:c r="I105" s="15"/>
      <x:c r="J105" s="15"/>
      <x:c r="K105" s="15"/>
      <x:c r="L105" s="15" t="n">
        <x:v>2.55</x:v>
      </x:c>
      <x:c r="M105" s="17" t="str">
        <x:v>Матриця + 0,15</x:v>
      </x:c>
    </x:row>
    <x:row r="106" ht="25" customHeight="1">
      <x:c r="A106" s="18" t="str">
        <x:v>ВВГз та споріднені марки, клас 3, 0,66 кВ</x:v>
      </x:c>
      <x:c r="B106" s="19" t="n">
        <x:v>1.5</x:v>
      </x:c>
      <x:c r="C106" s="18" t="str">
        <x:v>Довідкові</x:v>
      </x:c>
      <x:c r="D106" s="20"/>
      <x:c r="E106" s="20"/>
      <x:c r="F106" s="20" t="n">
        <x:v>320</x:v>
      </x:c>
      <x:c r="G106" s="20" t="n">
        <x:v>20</x:v>
      </x:c>
      <x:c r="H106" s="20" t="n">
        <x:f>IF(F106="","",ROUND(F106/2,0))</x:f>
        <x:v>160</x:v>
      </x:c>
      <x:c r="I106" s="21" t="n">
        <x:v>1.65</x:v>
      </x:c>
      <x:c r="J106" s="21" t="n">
        <x:v>2.7</x:v>
      </x:c>
      <x:c r="K106" s="21"/>
      <x:c r="L106" s="21"/>
      <x:c r="M106" s="22" t="str">
        <x:v>IMG_3851.JPG</x:v>
      </x:c>
    </x:row>
    <x:row r="107" ht="25" customHeight="1">
      <x:c r="A107" s="10" t="str">
        <x:v>ВВГз та споріднені марки, клас 3, 0,66 кВ</x:v>
      </x:c>
      <x:c r="B107" s="11" t="n">
        <x:v>1.5</x:v>
      </x:c>
      <x:c r="C107" s="23" t="str">
        <x:v>Практичні</x:v>
      </x:c>
      <x:c r="D107" s="24"/>
      <x:c r="E107" s="24"/>
      <x:c r="F107" s="24"/>
      <x:c r="G107" s="14" t="n">
        <x:v>20</x:v>
      </x:c>
      <x:c r="H107" s="14" t="str">
        <x:f>IF(F107="","",ROUND(F107/2,0))</x:f>
      </x:c>
      <x:c r="I107" s="15"/>
      <x:c r="J107" s="15"/>
      <x:c r="K107" s="15"/>
      <x:c r="L107" s="15"/>
      <x:c r="M107" s="17" t="str">
        <x:v>Ще немає заміру</x:v>
      </x:c>
    </x:row>
    <x:row r="108" ht="25" customHeight="1">
      <x:c r="A108" s="10" t="str">
        <x:v>ВВГз та споріднені марки, клас 3, 0,66 кВ</x:v>
      </x:c>
      <x:c r="B108" s="11" t="n">
        <x:v>1.5</x:v>
      </x:c>
      <x:c r="C108" s="25" t="str">
        <x:v>Прогнозовані</x:v>
      </x:c>
      <x:c r="D108" s="26"/>
      <x:c r="E108" s="26"/>
      <x:c r="F108" s="26"/>
      <x:c r="G108" s="14" t="n">
        <x:v>20</x:v>
      </x:c>
      <x:c r="H108" s="14" t="str">
        <x:f>IF(F108="","",ROUND(F108/2,0))</x:f>
      </x:c>
      <x:c r="I108" s="15"/>
      <x:c r="J108" s="15"/>
      <x:c r="K108" s="15"/>
      <x:c r="L108" s="15" t="n">
        <x:v>2.85</x:v>
      </x:c>
      <x:c r="M108" s="17" t="str">
        <x:v>Матриця + 0,15</x:v>
      </x:c>
    </x:row>
    <x:row r="109" ht="25" customHeight="1">
      <x:c r="A109" s="18" t="str">
        <x:v>ВВГз та споріднені марки, клас 3, 0,66 кВ</x:v>
      </x:c>
      <x:c r="B109" s="19" t="n">
        <x:v>2.5</x:v>
      </x:c>
      <x:c r="C109" s="18" t="str">
        <x:v>Довідкові</x:v>
      </x:c>
      <x:c r="D109" s="20"/>
      <x:c r="E109" s="20"/>
      <x:c r="F109" s="20" t="n">
        <x:v>250</x:v>
      </x:c>
      <x:c r="G109" s="20" t="n">
        <x:v>20</x:v>
      </x:c>
      <x:c r="H109" s="20" t="n">
        <x:f>IF(F109="","",ROUND(F109/2,0))</x:f>
        <x:v>125</x:v>
      </x:c>
      <x:c r="I109" s="21" t="n">
        <x:v>2.2</x:v>
      </x:c>
      <x:c r="J109" s="21" t="n">
        <x:v>3.25</x:v>
      </x:c>
      <x:c r="K109" s="21"/>
      <x:c r="L109" s="21"/>
      <x:c r="M109" s="22" t="str">
        <x:v>IMG_3851.JPG</x:v>
      </x:c>
    </x:row>
    <x:row r="110" ht="25" customHeight="1">
      <x:c r="A110" s="10" t="str">
        <x:v>ВВГз та споріднені марки, клас 3, 0,66 кВ</x:v>
      </x:c>
      <x:c r="B110" s="11" t="n">
        <x:v>2.5</x:v>
      </x:c>
      <x:c r="C110" s="23" t="str">
        <x:v>Практичні</x:v>
      </x:c>
      <x:c r="D110" s="24"/>
      <x:c r="E110" s="24"/>
      <x:c r="F110" s="24"/>
      <x:c r="G110" s="14" t="n">
        <x:v>20</x:v>
      </x:c>
      <x:c r="H110" s="14" t="str">
        <x:f>IF(F110="","",ROUND(F110/2,0))</x:f>
      </x:c>
      <x:c r="I110" s="15"/>
      <x:c r="J110" s="15"/>
      <x:c r="K110" s="15"/>
      <x:c r="L110" s="15"/>
      <x:c r="M110" s="17" t="str">
        <x:v>Ще немає заміру</x:v>
      </x:c>
    </x:row>
    <x:row r="111" ht="25" customHeight="1">
      <x:c r="A111" s="10" t="str">
        <x:v>ВВГз та споріднені марки, клас 3, 0,66 кВ</x:v>
      </x:c>
      <x:c r="B111" s="11" t="n">
        <x:v>2.5</x:v>
      </x:c>
      <x:c r="C111" s="25" t="str">
        <x:v>Прогнозовані</x:v>
      </x:c>
      <x:c r="D111" s="26"/>
      <x:c r="E111" s="26"/>
      <x:c r="F111" s="26"/>
      <x:c r="G111" s="14" t="n">
        <x:v>20</x:v>
      </x:c>
      <x:c r="H111" s="14" t="str">
        <x:f>IF(F111="","",ROUND(F111/2,0))</x:f>
      </x:c>
      <x:c r="I111" s="15"/>
      <x:c r="J111" s="15"/>
      <x:c r="K111" s="15"/>
      <x:c r="L111" s="15" t="n">
        <x:v>3.4</x:v>
      </x:c>
      <x:c r="M111" s="17" t="str">
        <x:v>Матриця + 0,15</x:v>
      </x:c>
    </x:row>
    <x:row r="112" ht="25" customHeight="1">
      <x:c r="A112" s="18" t="str">
        <x:v>ВВГз та споріднені марки, клас 3, 0,66 кВ</x:v>
      </x:c>
      <x:c r="B112" s="19" t="n">
        <x:v>4</x:v>
      </x:c>
      <x:c r="C112" s="18" t="str">
        <x:v>Довідкові</x:v>
      </x:c>
      <x:c r="D112" s="20"/>
      <x:c r="E112" s="20"/>
      <x:c r="F112" s="20" t="n">
        <x:v>160</x:v>
      </x:c>
      <x:c r="G112" s="20" t="n">
        <x:v>20</x:v>
      </x:c>
      <x:c r="H112" s="20" t="n">
        <x:f>IF(F112="","",ROUND(F112/2,0))</x:f>
        <x:v>80</x:v>
      </x:c>
      <x:c r="I112" s="21" t="n">
        <x:v>2.7</x:v>
      </x:c>
      <x:c r="J112" s="21" t="n">
        <x:v>3.9</x:v>
      </x:c>
      <x:c r="K112" s="21"/>
      <x:c r="L112" s="21"/>
      <x:c r="M112" s="22" t="str">
        <x:v>IMG_3851.JPG</x:v>
      </x:c>
    </x:row>
    <x:row r="113" ht="25" customHeight="1">
      <x:c r="A113" s="10" t="str">
        <x:v>ВВГз та споріднені марки, клас 3, 0,66 кВ</x:v>
      </x:c>
      <x:c r="B113" s="11" t="n">
        <x:v>4</x:v>
      </x:c>
      <x:c r="C113" s="23" t="str">
        <x:v>Практичні</x:v>
      </x:c>
      <x:c r="D113" s="24"/>
      <x:c r="E113" s="24"/>
      <x:c r="F113" s="24"/>
      <x:c r="G113" s="14" t="n">
        <x:v>20</x:v>
      </x:c>
      <x:c r="H113" s="14" t="str">
        <x:f>IF(F113="","",ROUND(F113/2,0))</x:f>
      </x:c>
      <x:c r="I113" s="15"/>
      <x:c r="J113" s="15"/>
      <x:c r="K113" s="15"/>
      <x:c r="L113" s="15"/>
      <x:c r="M113" s="17" t="str">
        <x:v>Ще немає заміру</x:v>
      </x:c>
    </x:row>
    <x:row r="114" ht="25" customHeight="1">
      <x:c r="A114" s="10" t="str">
        <x:v>ВВГз та споріднені марки, клас 3, 0,66 кВ</x:v>
      </x:c>
      <x:c r="B114" s="11" t="n">
        <x:v>4</x:v>
      </x:c>
      <x:c r="C114" s="25" t="str">
        <x:v>Прогнозовані</x:v>
      </x:c>
      <x:c r="D114" s="26"/>
      <x:c r="E114" s="26"/>
      <x:c r="F114" s="26"/>
      <x:c r="G114" s="14" t="n">
        <x:v>20</x:v>
      </x:c>
      <x:c r="H114" s="14" t="str">
        <x:f>IF(F114="","",ROUND(F114/2,0))</x:f>
      </x:c>
      <x:c r="I114" s="15"/>
      <x:c r="J114" s="15"/>
      <x:c r="K114" s="15"/>
      <x:c r="L114" s="15" t="n">
        <x:v>4.05</x:v>
      </x:c>
      <x:c r="M114" s="17" t="str">
        <x:v>Матриця + 0,15</x:v>
      </x:c>
    </x:row>
    <x:row r="115" ht="25" customHeight="1">
      <x:c r="A115" s="18" t="str">
        <x:v>ВВГз та споріднені марки, клас 3, 0,66 кВ</x:v>
      </x:c>
      <x:c r="B115" s="19" t="n">
        <x:v>6</x:v>
      </x:c>
      <x:c r="C115" s="18" t="str">
        <x:v>Довідкові</x:v>
      </x:c>
      <x:c r="D115" s="20"/>
      <x:c r="E115" s="20"/>
      <x:c r="F115" s="20" t="n">
        <x:v>160</x:v>
      </x:c>
      <x:c r="G115" s="20" t="n">
        <x:v>20</x:v>
      </x:c>
      <x:c r="H115" s="20" t="n">
        <x:f>IF(F115="","",ROUND(F115/2,0))</x:f>
        <x:v>80</x:v>
      </x:c>
      <x:c r="I115" s="21" t="n">
        <x:v>3.2</x:v>
      </x:c>
      <x:c r="J115" s="21" t="n">
        <x:v>4.4</x:v>
      </x:c>
      <x:c r="K115" s="21"/>
      <x:c r="L115" s="21"/>
      <x:c r="M115" s="22" t="str">
        <x:v>IMG_3851.JPG</x:v>
      </x:c>
    </x:row>
    <x:row r="116" ht="25" customHeight="1">
      <x:c r="A116" s="10" t="str">
        <x:v>ВВГз та споріднені марки, клас 3, 0,66 кВ</x:v>
      </x:c>
      <x:c r="B116" s="11" t="n">
        <x:v>6</x:v>
      </x:c>
      <x:c r="C116" s="23" t="str">
        <x:v>Практичні</x:v>
      </x:c>
      <x:c r="D116" s="24"/>
      <x:c r="E116" s="24"/>
      <x:c r="F116" s="24"/>
      <x:c r="G116" s="14" t="n">
        <x:v>20</x:v>
      </x:c>
      <x:c r="H116" s="14" t="str">
        <x:f>IF(F116="","",ROUND(F116/2,0))</x:f>
      </x:c>
      <x:c r="I116" s="15"/>
      <x:c r="J116" s="15"/>
      <x:c r="K116" s="15"/>
      <x:c r="L116" s="15"/>
      <x:c r="M116" s="17" t="str">
        <x:v>Ще немає заміру</x:v>
      </x:c>
    </x:row>
    <x:row r="117" ht="25" customHeight="1">
      <x:c r="A117" s="10" t="str">
        <x:v>ВВГз та споріднені марки, клас 3, 0,66 кВ</x:v>
      </x:c>
      <x:c r="B117" s="11" t="n">
        <x:v>6</x:v>
      </x:c>
      <x:c r="C117" s="25" t="str">
        <x:v>Прогнозовані</x:v>
      </x:c>
      <x:c r="D117" s="26"/>
      <x:c r="E117" s="26"/>
      <x:c r="F117" s="26"/>
      <x:c r="G117" s="14" t="n">
        <x:v>20</x:v>
      </x:c>
      <x:c r="H117" s="14" t="str">
        <x:f>IF(F117="","",ROUND(F117/2,0))</x:f>
      </x:c>
      <x:c r="I117" s="15"/>
      <x:c r="J117" s="15"/>
      <x:c r="K117" s="15"/>
      <x:c r="L117" s="15" t="n">
        <x:v>4.55</x:v>
      </x:c>
      <x:c r="M117" s="17" t="str">
        <x:v>Матриця + 0,15</x:v>
      </x:c>
    </x:row>
    <x:row r="118" ht="25" customHeight="1">
      <x:c r="A118" s="18" t="str">
        <x:v>H05V-U / H07V-U</x:v>
      </x:c>
      <x:c r="B118" s="19" t="n">
        <x:v>0.5</x:v>
      </x:c>
      <x:c r="C118" s="18" t="str">
        <x:v>Довідкові</x:v>
      </x:c>
      <x:c r="D118" s="20"/>
      <x:c r="E118" s="20"/>
      <x:c r="F118" s="20" t="n">
        <x:v>350</x:v>
      </x:c>
      <x:c r="G118" s="20" t="n">
        <x:v>20</x:v>
      </x:c>
      <x:c r="H118" s="20" t="n">
        <x:f>IF(F118="","",ROUND(F118/2,0))</x:f>
        <x:v>175</x:v>
      </x:c>
      <x:c r="I118" s="21" t="n">
        <x:v>0.9</x:v>
      </x:c>
      <x:c r="J118" s="21" t="n">
        <x:v>2.1</x:v>
      </x:c>
      <x:c r="K118" s="21"/>
      <x:c r="L118" s="21"/>
      <x:c r="M118" s="22" t="str">
        <x:v>IMG_3852.JPG</x:v>
      </x:c>
    </x:row>
    <x:row r="119" ht="25" customHeight="1">
      <x:c r="A119" s="10" t="str">
        <x:v>H05V-U / H07V-U</x:v>
      </x:c>
      <x:c r="B119" s="11" t="n">
        <x:v>0.5</x:v>
      </x:c>
      <x:c r="C119" s="23" t="str">
        <x:v>Практичні</x:v>
      </x:c>
      <x:c r="D119" s="24"/>
      <x:c r="E119" s="24"/>
      <x:c r="F119" s="24"/>
      <x:c r="G119" s="14" t="n">
        <x:v>20</x:v>
      </x:c>
      <x:c r="H119" s="14" t="str">
        <x:f>IF(F119="","",ROUND(F119/2,0))</x:f>
      </x:c>
      <x:c r="I119" s="15"/>
      <x:c r="J119" s="15"/>
      <x:c r="K119" s="15"/>
      <x:c r="L119" s="15"/>
      <x:c r="M119" s="17" t="str">
        <x:v>Ще немає заміру</x:v>
      </x:c>
    </x:row>
    <x:row r="120" ht="25" customHeight="1">
      <x:c r="A120" s="10" t="str">
        <x:v>H05V-U / H07V-U</x:v>
      </x:c>
      <x:c r="B120" s="11" t="n">
        <x:v>0.5</x:v>
      </x:c>
      <x:c r="C120" s="25" t="str">
        <x:v>Прогнозовані</x:v>
      </x:c>
      <x:c r="D120" s="26" t="n">
        <x:v>41</x:v>
      </x:c>
      <x:c r="E120" s="26"/>
      <x:c r="F120" s="26" t="n">
        <x:v>320</x:v>
      </x:c>
      <x:c r="G120" s="14" t="n">
        <x:v>20</x:v>
      </x:c>
      <x:c r="H120" s="14" t="n">
        <x:f>IF(F120="","",ROUND(F120/2,0))</x:f>
        <x:v>160</x:v>
      </x:c>
      <x:c r="I120" s="15"/>
      <x:c r="J120" s="15"/>
      <x:c r="K120" s="15"/>
      <x:c r="L120" s="15" t="n">
        <x:v>2.25</x:v>
      </x:c>
      <x:c r="M120" s="17" t="str">
        <x:v>DRAW_1.JPG</x:v>
      </x:c>
    </x:row>
    <x:row r="121" ht="25" customHeight="1">
      <x:c r="A121" s="18" t="str">
        <x:v>H05V-U / H07V-U</x:v>
      </x:c>
      <x:c r="B121" s="19" t="n">
        <x:v>0.75</x:v>
      </x:c>
      <x:c r="C121" s="18" t="str">
        <x:v>Довідкові</x:v>
      </x:c>
      <x:c r="D121" s="20"/>
      <x:c r="E121" s="20"/>
      <x:c r="F121" s="20" t="n">
        <x:v>350</x:v>
      </x:c>
      <x:c r="G121" s="20" t="n">
        <x:v>20</x:v>
      </x:c>
      <x:c r="H121" s="20" t="n">
        <x:f>IF(F121="","",ROUND(F121/2,0))</x:f>
        <x:v>175</x:v>
      </x:c>
      <x:c r="I121" s="21" t="n">
        <x:v>1.05</x:v>
      </x:c>
      <x:c r="J121" s="21" t="n">
        <x:v>2.25</x:v>
      </x:c>
      <x:c r="K121" s="21"/>
      <x:c r="L121" s="21"/>
      <x:c r="M121" s="22" t="str">
        <x:v>IMG_3852.JPG</x:v>
      </x:c>
    </x:row>
    <x:row r="122" ht="25" customHeight="1">
      <x:c r="A122" s="10" t="str">
        <x:v>H05V-U / H07V-U</x:v>
      </x:c>
      <x:c r="B122" s="11" t="n">
        <x:v>0.75</x:v>
      </x:c>
      <x:c r="C122" s="23" t="str">
        <x:v>Практичні</x:v>
      </x:c>
      <x:c r="D122" s="24"/>
      <x:c r="E122" s="24"/>
      <x:c r="F122" s="24"/>
      <x:c r="G122" s="14" t="n">
        <x:v>20</x:v>
      </x:c>
      <x:c r="H122" s="14" t="str">
        <x:f>IF(F122="","",ROUND(F122/2,0))</x:f>
      </x:c>
      <x:c r="I122" s="15"/>
      <x:c r="J122" s="15"/>
      <x:c r="K122" s="15"/>
      <x:c r="L122" s="15"/>
      <x:c r="M122" s="17" t="str">
        <x:v>Ще немає заміру</x:v>
      </x:c>
    </x:row>
    <x:row r="123" ht="25" customHeight="1">
      <x:c r="A123" s="10" t="str">
        <x:v>H05V-U / H07V-U</x:v>
      </x:c>
      <x:c r="B123" s="11" t="n">
        <x:v>0.75</x:v>
      </x:c>
      <x:c r="C123" s="25" t="str">
        <x:v>Прогнозовані</x:v>
      </x:c>
      <x:c r="D123" s="26" t="n">
        <x:v>45</x:v>
      </x:c>
      <x:c r="E123" s="26"/>
      <x:c r="F123" s="26" t="n">
        <x:v>320</x:v>
      </x:c>
      <x:c r="G123" s="14" t="n">
        <x:v>20</x:v>
      </x:c>
      <x:c r="H123" s="14" t="n">
        <x:f>IF(F123="","",ROUND(F123/2,0))</x:f>
        <x:v>160</x:v>
      </x:c>
      <x:c r="I123" s="15"/>
      <x:c r="J123" s="15"/>
      <x:c r="K123" s="15"/>
      <x:c r="L123" s="15" t="n">
        <x:v>2.4</x:v>
      </x:c>
      <x:c r="M123" s="17" t="str">
        <x:v>DRAW_1.JPG</x:v>
      </x:c>
    </x:row>
    <x:row r="124" ht="25" customHeight="1">
      <x:c r="A124" s="18" t="str">
        <x:v>H05V-U / H07V-U</x:v>
      </x:c>
      <x:c r="B124" s="19" t="n">
        <x:v>1</x:v>
      </x:c>
      <x:c r="C124" s="18" t="str">
        <x:v>Довідкові</x:v>
      </x:c>
      <x:c r="D124" s="20"/>
      <x:c r="E124" s="20"/>
      <x:c r="F124" s="20" t="n">
        <x:v>350</x:v>
      </x:c>
      <x:c r="G124" s="20" t="n">
        <x:v>20</x:v>
      </x:c>
      <x:c r="H124" s="20" t="n">
        <x:f>IF(F124="","",ROUND(F124/2,0))</x:f>
        <x:v>175</x:v>
      </x:c>
      <x:c r="I124" s="21" t="n">
        <x:v>1.2</x:v>
      </x:c>
      <x:c r="J124" s="21" t="n">
        <x:v>2.4</x:v>
      </x:c>
      <x:c r="K124" s="21"/>
      <x:c r="L124" s="21"/>
      <x:c r="M124" s="22" t="str">
        <x:v>IMG_3852.JPG</x:v>
      </x:c>
    </x:row>
    <x:row r="125" ht="25" customHeight="1">
      <x:c r="A125" s="10" t="str">
        <x:v>H05V-U / H07V-U</x:v>
      </x:c>
      <x:c r="B125" s="11" t="n">
        <x:v>1</x:v>
      </x:c>
      <x:c r="C125" s="23" t="str">
        <x:v>Практичні</x:v>
      </x:c>
      <x:c r="D125" s="24"/>
      <x:c r="E125" s="24"/>
      <x:c r="F125" s="24"/>
      <x:c r="G125" s="14" t="n">
        <x:v>20</x:v>
      </x:c>
      <x:c r="H125" s="14" t="str">
        <x:f>IF(F125="","",ROUND(F125/2,0))</x:f>
      </x:c>
      <x:c r="I125" s="15"/>
      <x:c r="J125" s="15"/>
      <x:c r="K125" s="15"/>
      <x:c r="L125" s="15"/>
      <x:c r="M125" s="17" t="str">
        <x:v>Ще немає заміру</x:v>
      </x:c>
    </x:row>
    <x:row r="126" ht="25" customHeight="1">
      <x:c r="A126" s="10" t="str">
        <x:v>H05V-U / H07V-U</x:v>
      </x:c>
      <x:c r="B126" s="11" t="n">
        <x:v>1</x:v>
      </x:c>
      <x:c r="C126" s="25" t="str">
        <x:v>Прогнозовані</x:v>
      </x:c>
      <x:c r="D126" s="26" t="n">
        <x:v>50</x:v>
      </x:c>
      <x:c r="E126" s="26"/>
      <x:c r="F126" s="26" t="n">
        <x:v>320</x:v>
      </x:c>
      <x:c r="G126" s="14" t="n">
        <x:v>20</x:v>
      </x:c>
      <x:c r="H126" s="14" t="n">
        <x:f>IF(F126="","",ROUND(F126/2,0))</x:f>
        <x:v>160</x:v>
      </x:c>
      <x:c r="I126" s="15"/>
      <x:c r="J126" s="15"/>
      <x:c r="K126" s="15"/>
      <x:c r="L126" s="15" t="n">
        <x:v>2.55</x:v>
      </x:c>
      <x:c r="M126" s="17" t="str">
        <x:v>DRAW_1.JPG</x:v>
      </x:c>
    </x:row>
    <x:row r="127" ht="25" customHeight="1">
      <x:c r="A127" s="18" t="str">
        <x:v>H05V-U / H07V-U</x:v>
      </x:c>
      <x:c r="B127" s="19" t="n">
        <x:v>1.5</x:v>
      </x:c>
      <x:c r="C127" s="18" t="str">
        <x:v>Довідкові</x:v>
      </x:c>
      <x:c r="D127" s="20"/>
      <x:c r="E127" s="20"/>
      <x:c r="F127" s="20" t="n">
        <x:v>350</x:v>
      </x:c>
      <x:c r="G127" s="20" t="n">
        <x:v>20</x:v>
      </x:c>
      <x:c r="H127" s="20" t="n">
        <x:f>IF(F127="","",ROUND(F127/2,0))</x:f>
        <x:v>175</x:v>
      </x:c>
      <x:c r="I127" s="21" t="n">
        <x:v>1.45</x:v>
      </x:c>
      <x:c r="J127" s="21" t="n">
        <x:v>2.8</x:v>
      </x:c>
      <x:c r="K127" s="21"/>
      <x:c r="L127" s="21"/>
      <x:c r="M127" s="22" t="str">
        <x:v>IMG_3852.JPG</x:v>
      </x:c>
    </x:row>
    <x:row r="128" ht="25" customHeight="1">
      <x:c r="A128" s="10" t="str">
        <x:v>H05V-U / H07V-U</x:v>
      </x:c>
      <x:c r="B128" s="11" t="n">
        <x:v>1.5</x:v>
      </x:c>
      <x:c r="C128" s="23" t="str">
        <x:v>Практичні</x:v>
      </x:c>
      <x:c r="D128" s="24" t="n">
        <x:v>75</x:v>
      </x:c>
      <x:c r="E128" s="24"/>
      <x:c r="F128" s="24" t="n">
        <x:v>320</x:v>
      </x:c>
      <x:c r="G128" s="14" t="n">
        <x:v>20</x:v>
      </x:c>
      <x:c r="H128" s="14" t="n">
        <x:f>IF(F128="","",ROUND(F128/2,0))</x:f>
        <x:v>160</x:v>
      </x:c>
      <x:c r="I128" s="15" t="n">
        <x:v>1.45</x:v>
      </x:c>
      <x:c r="J128" s="15" t="n">
        <x:v>2.8</x:v>
      </x:c>
      <x:c r="K128" s="15" t="n">
        <x:v>1.37</x:v>
      </x:c>
      <x:c r="L128" s="15" t="n">
        <x:v>2.85</x:v>
      </x:c>
      <x:c r="M128" s="17" t="str">
        <x:v>DRAW_1.JPG</x:v>
      </x:c>
    </x:row>
    <x:row r="129" ht="25" customHeight="1">
      <x:c r="A129" s="10" t="str">
        <x:v>H05V-U / H07V-U</x:v>
      </x:c>
      <x:c r="B129" s="11" t="n">
        <x:v>1.5</x:v>
      </x:c>
      <x:c r="C129" s="25" t="str">
        <x:v>Прогнозовані</x:v>
      </x:c>
      <x:c r="D129" s="26"/>
      <x:c r="E129" s="26"/>
      <x:c r="F129" s="26"/>
      <x:c r="G129" s="14" t="n">
        <x:v>20</x:v>
      </x:c>
      <x:c r="H129" s="14" t="str">
        <x:f>IF(F129="","",ROUND(F129/2,0))</x:f>
      </x:c>
      <x:c r="I129" s="15"/>
      <x:c r="J129" s="15"/>
      <x:c r="K129" s="15"/>
      <x:c r="L129" s="15"/>
      <x:c r="M129" s="17" t="str">
        <x:v>Є практичні значення</x:v>
      </x:c>
    </x:row>
    <x:row r="130" ht="25" customHeight="1">
      <x:c r="A130" s="18" t="str">
        <x:v>H05V-U / H07V-U</x:v>
      </x:c>
      <x:c r="B130" s="19" t="n">
        <x:v>2.5</x:v>
      </x:c>
      <x:c r="C130" s="18" t="str">
        <x:v>Довідкові</x:v>
      </x:c>
      <x:c r="D130" s="20"/>
      <x:c r="E130" s="20"/>
      <x:c r="F130" s="20" t="n">
        <x:v>200</x:v>
      </x:c>
      <x:c r="G130" s="20" t="n">
        <x:v>20</x:v>
      </x:c>
      <x:c r="H130" s="20" t="n">
        <x:f>IF(F130="","",ROUND(F130/2,0))</x:f>
        <x:v>100</x:v>
      </x:c>
      <x:c r="I130" s="21" t="n">
        <x:v>1.8</x:v>
      </x:c>
      <x:c r="J130" s="21" t="n">
        <x:v>3.4</x:v>
      </x:c>
      <x:c r="K130" s="21"/>
      <x:c r="L130" s="21"/>
      <x:c r="M130" s="22" t="str">
        <x:v>IMG_3852.JPG</x:v>
      </x:c>
    </x:row>
    <x:row r="131" ht="25" customHeight="1">
      <x:c r="A131" s="10" t="str">
        <x:v>H05V-U / H07V-U</x:v>
      </x:c>
      <x:c r="B131" s="11" t="n">
        <x:v>2.5</x:v>
      </x:c>
      <x:c r="C131" s="23" t="str">
        <x:v>Практичні</x:v>
      </x:c>
      <x:c r="D131" s="24" t="n">
        <x:v>50</x:v>
      </x:c>
      <x:c r="E131" s="24"/>
      <x:c r="F131" s="24" t="n">
        <x:v>150</x:v>
      </x:c>
      <x:c r="G131" s="14" t="n">
        <x:v>20</x:v>
      </x:c>
      <x:c r="H131" s="14" t="n">
        <x:f>IF(F131="","",ROUND(F131/2,0))</x:f>
        <x:v>75</x:v>
      </x:c>
      <x:c r="I131" s="15" t="n">
        <x:v>1.8</x:v>
      </x:c>
      <x:c r="J131" s="15" t="n">
        <x:v>3.4</x:v>
      </x:c>
      <x:c r="K131" s="15" t="n">
        <x:v>1.75</x:v>
      </x:c>
      <x:c r="L131" s="15" t="n">
        <x:v>3.55</x:v>
      </x:c>
      <x:c r="M131" s="17" t="str">
        <x:v>DRAW_1.JPG</x:v>
      </x:c>
    </x:row>
    <x:row r="132" ht="25" customHeight="1">
      <x:c r="A132" s="10" t="str">
        <x:v>H05V-U / H07V-U</x:v>
      </x:c>
      <x:c r="B132" s="11" t="n">
        <x:v>2.5</x:v>
      </x:c>
      <x:c r="C132" s="25" t="str">
        <x:v>Прогнозовані</x:v>
      </x:c>
      <x:c r="D132" s="26"/>
      <x:c r="E132" s="26"/>
      <x:c r="F132" s="26"/>
      <x:c r="G132" s="14" t="n">
        <x:v>20</x:v>
      </x:c>
      <x:c r="H132" s="14" t="str">
        <x:f>IF(F132="","",ROUND(F132/2,0))</x:f>
      </x:c>
      <x:c r="I132" s="15"/>
      <x:c r="J132" s="15"/>
      <x:c r="K132" s="15"/>
      <x:c r="L132" s="15"/>
      <x:c r="M132" s="17" t="str">
        <x:v>Є практичні значення</x:v>
      </x:c>
    </x:row>
    <x:row r="133" ht="25" customHeight="1">
      <x:c r="A133" s="18" t="str">
        <x:v>H05V-U / H07V-U</x:v>
      </x:c>
      <x:c r="B133" s="19" t="n">
        <x:v>4</x:v>
      </x:c>
      <x:c r="C133" s="18" t="str">
        <x:v>Довідкові</x:v>
      </x:c>
      <x:c r="D133" s="20"/>
      <x:c r="E133" s="20"/>
      <x:c r="F133" s="20" t="n">
        <x:v>160</x:v>
      </x:c>
      <x:c r="G133" s="20" t="n">
        <x:v>20</x:v>
      </x:c>
      <x:c r="H133" s="20" t="n">
        <x:f>IF(F133="","",ROUND(F133/2,0))</x:f>
        <x:v>80</x:v>
      </x:c>
      <x:c r="I133" s="21" t="n">
        <x:v>2.3</x:v>
      </x:c>
      <x:c r="J133" s="21" t="n">
        <x:v>3.8</x:v>
      </x:c>
      <x:c r="K133" s="21"/>
      <x:c r="L133" s="21"/>
      <x:c r="M133" s="22" t="str">
        <x:v>IMG_3852.JPG</x:v>
      </x:c>
    </x:row>
    <x:row r="134" ht="25" customHeight="1">
      <x:c r="A134" s="10" t="str">
        <x:v>H05V-U / H07V-U</x:v>
      </x:c>
      <x:c r="B134" s="11" t="n">
        <x:v>4</x:v>
      </x:c>
      <x:c r="C134" s="23" t="str">
        <x:v>Практичні</x:v>
      </x:c>
      <x:c r="D134" s="24"/>
      <x:c r="E134" s="24"/>
      <x:c r="F134" s="24"/>
      <x:c r="G134" s="14" t="n">
        <x:v>20</x:v>
      </x:c>
      <x:c r="H134" s="14" t="str">
        <x:f>IF(F134="","",ROUND(F134/2,0))</x:f>
      </x:c>
      <x:c r="I134" s="15"/>
      <x:c r="J134" s="15"/>
      <x:c r="K134" s="15"/>
      <x:c r="L134" s="15"/>
      <x:c r="M134" s="17" t="str">
        <x:v>Ще немає заміру</x:v>
      </x:c>
    </x:row>
    <x:row r="135" ht="25" customHeight="1">
      <x:c r="A135" s="10" t="str">
        <x:v>H05V-U / H07V-U</x:v>
      </x:c>
      <x:c r="B135" s="11" t="n">
        <x:v>4</x:v>
      </x:c>
      <x:c r="C135" s="25" t="str">
        <x:v>Прогнозовані</x:v>
      </x:c>
      <x:c r="D135" s="26" t="n">
        <x:v>40</x:v>
      </x:c>
      <x:c r="E135" s="26"/>
      <x:c r="F135" s="26" t="n">
        <x:v>120</x:v>
      </x:c>
      <x:c r="G135" s="14" t="n">
        <x:v>20</x:v>
      </x:c>
      <x:c r="H135" s="14" t="n">
        <x:f>IF(F135="","",ROUND(F135/2,0))</x:f>
        <x:v>60</x:v>
      </x:c>
      <x:c r="I135" s="15"/>
      <x:c r="J135" s="15"/>
      <x:c r="K135" s="15"/>
      <x:c r="L135" s="15" t="n">
        <x:v>3.95</x:v>
      </x:c>
      <x:c r="M135" s="17" t="str">
        <x:v>DRAW_1.JPG</x:v>
      </x:c>
    </x:row>
    <x:row r="136" ht="25" customHeight="1">
      <x:c r="A136" s="18" t="str">
        <x:v>H05V-U / H07V-U</x:v>
      </x:c>
      <x:c r="B136" s="19" t="n">
        <x:v>6</x:v>
      </x:c>
      <x:c r="C136" s="18" t="str">
        <x:v>Довідкові</x:v>
      </x:c>
      <x:c r="D136" s="20"/>
      <x:c r="E136" s="20"/>
      <x:c r="F136" s="20" t="n">
        <x:v>160</x:v>
      </x:c>
      <x:c r="G136" s="20" t="n">
        <x:v>20</x:v>
      </x:c>
      <x:c r="H136" s="20" t="n">
        <x:f>IF(F136="","",ROUND(F136/2,0))</x:f>
        <x:v>80</x:v>
      </x:c>
      <x:c r="I136" s="21" t="n">
        <x:v>2.8</x:v>
      </x:c>
      <x:c r="J136" s="21" t="n">
        <x:v>4.3</x:v>
      </x:c>
      <x:c r="K136" s="21"/>
      <x:c r="L136" s="21"/>
      <x:c r="M136" s="22" t="str">
        <x:v>IMG_3852.JPG</x:v>
      </x:c>
    </x:row>
    <x:row r="137" ht="25" customHeight="1">
      <x:c r="A137" s="10" t="str">
        <x:v>H05V-U / H07V-U</x:v>
      </x:c>
      <x:c r="B137" s="11" t="n">
        <x:v>6</x:v>
      </x:c>
      <x:c r="C137" s="23" t="str">
        <x:v>Практичні</x:v>
      </x:c>
      <x:c r="D137" s="24"/>
      <x:c r="E137" s="24"/>
      <x:c r="F137" s="24"/>
      <x:c r="G137" s="14" t="n">
        <x:v>20</x:v>
      </x:c>
      <x:c r="H137" s="14" t="str">
        <x:f>IF(F137="","",ROUND(F137/2,0))</x:f>
      </x:c>
      <x:c r="I137" s="15"/>
      <x:c r="J137" s="15"/>
      <x:c r="K137" s="15"/>
      <x:c r="L137" s="15"/>
      <x:c r="M137" s="17" t="str">
        <x:v>Ще немає заміру</x:v>
      </x:c>
    </x:row>
    <x:row r="138" ht="25" customHeight="1">
      <x:c r="A138" s="10" t="str">
        <x:v>H05V-U / H07V-U</x:v>
      </x:c>
      <x:c r="B138" s="11" t="n">
        <x:v>6</x:v>
      </x:c>
      <x:c r="C138" s="25" t="str">
        <x:v>Прогнозовані</x:v>
      </x:c>
      <x:c r="D138" s="26" t="n">
        <x:v>47</x:v>
      </x:c>
      <x:c r="E138" s="26"/>
      <x:c r="F138" s="26" t="n">
        <x:v>120</x:v>
      </x:c>
      <x:c r="G138" s="14" t="n">
        <x:v>20</x:v>
      </x:c>
      <x:c r="H138" s="14" t="n">
        <x:f>IF(F138="","",ROUND(F138/2,0))</x:f>
        <x:v>60</x:v>
      </x:c>
      <x:c r="I138" s="15"/>
      <x:c r="J138" s="15"/>
      <x:c r="K138" s="15"/>
      <x:c r="L138" s="15" t="n">
        <x:v>4.45</x:v>
      </x:c>
      <x:c r="M138" s="17" t="str">
        <x:v>DRAW_1.JPG</x:v>
      </x:c>
    </x:row>
    <x:row r="139" ht="25" customHeight="1">
      <x:c r="A139" s="18" t="str">
        <x:v>H05V-R / H07V-R</x:v>
      </x:c>
      <x:c r="B139" s="19" t="n">
        <x:v>0.5</x:v>
      </x:c>
      <x:c r="C139" s="18" t="str">
        <x:v>Довідкові</x:v>
      </x:c>
      <x:c r="D139" s="20"/>
      <x:c r="E139" s="20"/>
      <x:c r="F139" s="20" t="n">
        <x:v>350</x:v>
      </x:c>
      <x:c r="G139" s="20" t="n">
        <x:v>20</x:v>
      </x:c>
      <x:c r="H139" s="20" t="n">
        <x:f>IF(F139="","",ROUND(F139/2,0))</x:f>
        <x:v>175</x:v>
      </x:c>
      <x:c r="I139" s="21" t="n">
        <x:v>1</x:v>
      </x:c>
      <x:c r="J139" s="21" t="n">
        <x:v>2.1</x:v>
      </x:c>
      <x:c r="K139" s="21"/>
      <x:c r="L139" s="21"/>
      <x:c r="M139" s="22" t="str">
        <x:v>IMG_3852.JPG</x:v>
      </x:c>
    </x:row>
    <x:row r="140" ht="25" customHeight="1">
      <x:c r="A140" s="10" t="str">
        <x:v>H05V-R / H07V-R</x:v>
      </x:c>
      <x:c r="B140" s="11" t="n">
        <x:v>0.5</x:v>
      </x:c>
      <x:c r="C140" s="23" t="str">
        <x:v>Практичні</x:v>
      </x:c>
      <x:c r="D140" s="24"/>
      <x:c r="E140" s="24"/>
      <x:c r="F140" s="24"/>
      <x:c r="G140" s="14" t="n">
        <x:v>20</x:v>
      </x:c>
      <x:c r="H140" s="14" t="str">
        <x:f>IF(F140="","",ROUND(F140/2,0))</x:f>
      </x:c>
      <x:c r="I140" s="15"/>
      <x:c r="J140" s="15"/>
      <x:c r="K140" s="15"/>
      <x:c r="L140" s="15"/>
      <x:c r="M140" s="17" t="str">
        <x:v>Ще немає заміру</x:v>
      </x:c>
    </x:row>
    <x:row r="141" ht="25" customHeight="1">
      <x:c r="A141" s="10" t="str">
        <x:v>H05V-R / H07V-R</x:v>
      </x:c>
      <x:c r="B141" s="11" t="n">
        <x:v>0.5</x:v>
      </x:c>
      <x:c r="C141" s="25" t="str">
        <x:v>Прогнозовані</x:v>
      </x:c>
      <x:c r="D141" s="26"/>
      <x:c r="E141" s="26"/>
      <x:c r="F141" s="26"/>
      <x:c r="G141" s="14" t="n">
        <x:v>20</x:v>
      </x:c>
      <x:c r="H141" s="14" t="str">
        <x:f>IF(F141="","",ROUND(F141/2,0))</x:f>
      </x:c>
      <x:c r="I141" s="15"/>
      <x:c r="J141" s="15"/>
      <x:c r="K141" s="15"/>
      <x:c r="L141" s="15" t="n">
        <x:v>2.25</x:v>
      </x:c>
      <x:c r="M141" s="17" t="str">
        <x:v>Матриця + 0,15</x:v>
      </x:c>
    </x:row>
    <x:row r="142" ht="25" customHeight="1">
      <x:c r="A142" s="18" t="str">
        <x:v>H05V-R / H07V-R</x:v>
      </x:c>
      <x:c r="B142" s="19" t="n">
        <x:v>0.75</x:v>
      </x:c>
      <x:c r="C142" s="18" t="str">
        <x:v>Довідкові</x:v>
      </x:c>
      <x:c r="D142" s="20"/>
      <x:c r="E142" s="20"/>
      <x:c r="F142" s="20" t="n">
        <x:v>350</x:v>
      </x:c>
      <x:c r="G142" s="20" t="n">
        <x:v>20</x:v>
      </x:c>
      <x:c r="H142" s="20" t="n">
        <x:f>IF(F142="","",ROUND(F142/2,0))</x:f>
        <x:v>175</x:v>
      </x:c>
      <x:c r="I142" s="21" t="n">
        <x:v>1.3</x:v>
      </x:c>
      <x:c r="J142" s="21" t="n">
        <x:v>2.4</x:v>
      </x:c>
      <x:c r="K142" s="21"/>
      <x:c r="L142" s="21"/>
      <x:c r="M142" s="22" t="str">
        <x:v>IMG_3852.JPG</x:v>
      </x:c>
    </x:row>
    <x:row r="143" ht="25" customHeight="1">
      <x:c r="A143" s="10" t="str">
        <x:v>H05V-R / H07V-R</x:v>
      </x:c>
      <x:c r="B143" s="11" t="n">
        <x:v>0.75</x:v>
      </x:c>
      <x:c r="C143" s="23" t="str">
        <x:v>Практичні</x:v>
      </x:c>
      <x:c r="D143" s="24"/>
      <x:c r="E143" s="24"/>
      <x:c r="F143" s="24"/>
      <x:c r="G143" s="14" t="n">
        <x:v>20</x:v>
      </x:c>
      <x:c r="H143" s="14" t="str">
        <x:f>IF(F143="","",ROUND(F143/2,0))</x:f>
      </x:c>
      <x:c r="I143" s="15"/>
      <x:c r="J143" s="15"/>
      <x:c r="K143" s="15"/>
      <x:c r="L143" s="15"/>
      <x:c r="M143" s="17" t="str">
        <x:v>Ще немає заміру</x:v>
      </x:c>
    </x:row>
    <x:row r="144" ht="25" customHeight="1">
      <x:c r="A144" s="10" t="str">
        <x:v>H05V-R / H07V-R</x:v>
      </x:c>
      <x:c r="B144" s="11" t="n">
        <x:v>0.75</x:v>
      </x:c>
      <x:c r="C144" s="25" t="str">
        <x:v>Прогнозовані</x:v>
      </x:c>
      <x:c r="D144" s="26"/>
      <x:c r="E144" s="26"/>
      <x:c r="F144" s="26"/>
      <x:c r="G144" s="14" t="n">
        <x:v>20</x:v>
      </x:c>
      <x:c r="H144" s="14" t="str">
        <x:f>IF(F144="","",ROUND(F144/2,0))</x:f>
      </x:c>
      <x:c r="I144" s="15"/>
      <x:c r="J144" s="15"/>
      <x:c r="K144" s="15"/>
      <x:c r="L144" s="15" t="n">
        <x:v>2.55</x:v>
      </x:c>
      <x:c r="M144" s="17" t="str">
        <x:v>Матриця + 0,15</x:v>
      </x:c>
    </x:row>
    <x:row r="145" ht="25" customHeight="1">
      <x:c r="A145" s="18" t="str">
        <x:v>H05V-R / H07V-R</x:v>
      </x:c>
      <x:c r="B145" s="19" t="n">
        <x:v>1</x:v>
      </x:c>
      <x:c r="C145" s="18" t="str">
        <x:v>Довідкові</x:v>
      </x:c>
      <x:c r="D145" s="20"/>
      <x:c r="E145" s="20"/>
      <x:c r="F145" s="20" t="n">
        <x:v>350</x:v>
      </x:c>
      <x:c r="G145" s="20" t="n">
        <x:v>20</x:v>
      </x:c>
      <x:c r="H145" s="20" t="n">
        <x:f>IF(F145="","",ROUND(F145/2,0))</x:f>
        <x:v>175</x:v>
      </x:c>
      <x:c r="I145" s="21" t="n">
        <x:v>1.35</x:v>
      </x:c>
      <x:c r="J145" s="21" t="n">
        <x:v>2.5</x:v>
      </x:c>
      <x:c r="K145" s="21"/>
      <x:c r="L145" s="21"/>
      <x:c r="M145" s="22" t="str">
        <x:v>IMG_3852.JPG</x:v>
      </x:c>
    </x:row>
    <x:row r="146" ht="25" customHeight="1">
      <x:c r="A146" s="10" t="str">
        <x:v>H05V-R / H07V-R</x:v>
      </x:c>
      <x:c r="B146" s="11" t="n">
        <x:v>1</x:v>
      </x:c>
      <x:c r="C146" s="23" t="str">
        <x:v>Практичні</x:v>
      </x:c>
      <x:c r="D146" s="24"/>
      <x:c r="E146" s="24"/>
      <x:c r="F146" s="24"/>
      <x:c r="G146" s="14" t="n">
        <x:v>20</x:v>
      </x:c>
      <x:c r="H146" s="14" t="str">
        <x:f>IF(F146="","",ROUND(F146/2,0))</x:f>
      </x:c>
      <x:c r="I146" s="15"/>
      <x:c r="J146" s="15"/>
      <x:c r="K146" s="15"/>
      <x:c r="L146" s="15"/>
      <x:c r="M146" s="17" t="str">
        <x:v>Ще немає заміру</x:v>
      </x:c>
    </x:row>
    <x:row r="147" ht="25" customHeight="1">
      <x:c r="A147" s="10" t="str">
        <x:v>H05V-R / H07V-R</x:v>
      </x:c>
      <x:c r="B147" s="11" t="n">
        <x:v>1</x:v>
      </x:c>
      <x:c r="C147" s="25" t="str">
        <x:v>Прогнозовані</x:v>
      </x:c>
      <x:c r="D147" s="26"/>
      <x:c r="E147" s="26"/>
      <x:c r="F147" s="26"/>
      <x:c r="G147" s="14" t="n">
        <x:v>20</x:v>
      </x:c>
      <x:c r="H147" s="14" t="str">
        <x:f>IF(F147="","",ROUND(F147/2,0))</x:f>
      </x:c>
      <x:c r="I147" s="15"/>
      <x:c r="J147" s="15"/>
      <x:c r="K147" s="15"/>
      <x:c r="L147" s="15" t="n">
        <x:v>2.65</x:v>
      </x:c>
      <x:c r="M147" s="17" t="str">
        <x:v>Матриця + 0,15</x:v>
      </x:c>
    </x:row>
    <x:row r="148" ht="25" customHeight="1">
      <x:c r="A148" s="18" t="str">
        <x:v>H05V-R / H07V-R</x:v>
      </x:c>
      <x:c r="B148" s="19" t="n">
        <x:v>1.5</x:v>
      </x:c>
      <x:c r="C148" s="18" t="str">
        <x:v>Довідкові</x:v>
      </x:c>
      <x:c r="D148" s="20"/>
      <x:c r="E148" s="20"/>
      <x:c r="F148" s="20" t="n">
        <x:v>300</x:v>
      </x:c>
      <x:c r="G148" s="20" t="n">
        <x:v>20</x:v>
      </x:c>
      <x:c r="H148" s="20" t="n">
        <x:f>IF(F148="","",ROUND(F148/2,0))</x:f>
        <x:v>150</x:v>
      </x:c>
      <x:c r="I148" s="21" t="n">
        <x:v>1.6</x:v>
      </x:c>
      <x:c r="J148" s="21" t="n">
        <x:v>2.9</x:v>
      </x:c>
      <x:c r="K148" s="21"/>
      <x:c r="L148" s="21"/>
      <x:c r="M148" s="22" t="str">
        <x:v>IMG_3852.JPG</x:v>
      </x:c>
    </x:row>
    <x:row r="149" ht="25" customHeight="1">
      <x:c r="A149" s="10" t="str">
        <x:v>H05V-R / H07V-R</x:v>
      </x:c>
      <x:c r="B149" s="11" t="n">
        <x:v>1.5</x:v>
      </x:c>
      <x:c r="C149" s="23" t="str">
        <x:v>Практичні</x:v>
      </x:c>
      <x:c r="D149" s="24"/>
      <x:c r="E149" s="24"/>
      <x:c r="F149" s="24"/>
      <x:c r="G149" s="14" t="n">
        <x:v>20</x:v>
      </x:c>
      <x:c r="H149" s="14" t="str">
        <x:f>IF(F149="","",ROUND(F149/2,0))</x:f>
      </x:c>
      <x:c r="I149" s="15"/>
      <x:c r="J149" s="15"/>
      <x:c r="K149" s="15"/>
      <x:c r="L149" s="15"/>
      <x:c r="M149" s="17" t="str">
        <x:v>Ще немає заміру</x:v>
      </x:c>
    </x:row>
    <x:row r="150" ht="25" customHeight="1">
      <x:c r="A150" s="10" t="str">
        <x:v>H05V-R / H07V-R</x:v>
      </x:c>
      <x:c r="B150" s="11" t="n">
        <x:v>1.5</x:v>
      </x:c>
      <x:c r="C150" s="25" t="str">
        <x:v>Прогнозовані</x:v>
      </x:c>
      <x:c r="D150" s="26"/>
      <x:c r="E150" s="26"/>
      <x:c r="F150" s="26"/>
      <x:c r="G150" s="14" t="n">
        <x:v>20</x:v>
      </x:c>
      <x:c r="H150" s="14" t="str">
        <x:f>IF(F150="","",ROUND(F150/2,0))</x:f>
      </x:c>
      <x:c r="I150" s="15"/>
      <x:c r="J150" s="15"/>
      <x:c r="K150" s="15"/>
      <x:c r="L150" s="15" t="n">
        <x:v>3.05</x:v>
      </x:c>
      <x:c r="M150" s="17" t="str">
        <x:v>Матриця + 0,15</x:v>
      </x:c>
    </x:row>
    <x:row r="151" ht="25" customHeight="1">
      <x:c r="A151" s="18" t="str">
        <x:v>H05V-R / H07V-R</x:v>
      </x:c>
      <x:c r="B151" s="19" t="n">
        <x:v>2.5</x:v>
      </x:c>
      <x:c r="C151" s="18" t="str">
        <x:v>Довідкові</x:v>
      </x:c>
      <x:c r="D151" s="20"/>
      <x:c r="E151" s="20"/>
      <x:c r="F151" s="20" t="n">
        <x:v>300</x:v>
      </x:c>
      <x:c r="G151" s="20" t="n">
        <x:v>20</x:v>
      </x:c>
      <x:c r="H151" s="20" t="n">
        <x:f>IF(F151="","",ROUND(F151/2,0))</x:f>
        <x:v>150</x:v>
      </x:c>
      <x:c r="I151" s="21" t="n">
        <x:v>2.3</x:v>
      </x:c>
      <x:c r="J151" s="21" t="n">
        <x:v>3.82</x:v>
      </x:c>
      <x:c r="K151" s="21"/>
      <x:c r="L151" s="21"/>
      <x:c r="M151" s="22" t="str">
        <x:v>IMG_3852.JPG</x:v>
      </x:c>
    </x:row>
    <x:row r="152" ht="25" customHeight="1">
      <x:c r="A152" s="10" t="str">
        <x:v>H05V-R / H07V-R</x:v>
      </x:c>
      <x:c r="B152" s="11" t="n">
        <x:v>2.5</x:v>
      </x:c>
      <x:c r="C152" s="23" t="str">
        <x:v>Практичні</x:v>
      </x:c>
      <x:c r="D152" s="24"/>
      <x:c r="E152" s="24"/>
      <x:c r="F152" s="24"/>
      <x:c r="G152" s="14" t="n">
        <x:v>20</x:v>
      </x:c>
      <x:c r="H152" s="14" t="str">
        <x:f>IF(F152="","",ROUND(F152/2,0))</x:f>
      </x:c>
      <x:c r="I152" s="15"/>
      <x:c r="J152" s="15"/>
      <x:c r="K152" s="15"/>
      <x:c r="L152" s="15"/>
      <x:c r="M152" s="17" t="str">
        <x:v>Ще немає заміру</x:v>
      </x:c>
    </x:row>
    <x:row r="153" ht="25" customHeight="1">
      <x:c r="A153" s="10" t="str">
        <x:v>H05V-R / H07V-R</x:v>
      </x:c>
      <x:c r="B153" s="11" t="n">
        <x:v>2.5</x:v>
      </x:c>
      <x:c r="C153" s="25" t="str">
        <x:v>Прогнозовані</x:v>
      </x:c>
      <x:c r="D153" s="26"/>
      <x:c r="E153" s="26"/>
      <x:c r="F153" s="26"/>
      <x:c r="G153" s="14" t="n">
        <x:v>20</x:v>
      </x:c>
      <x:c r="H153" s="14" t="str">
        <x:f>IF(F153="","",ROUND(F153/2,0))</x:f>
      </x:c>
      <x:c r="I153" s="15"/>
      <x:c r="J153" s="15"/>
      <x:c r="K153" s="15"/>
      <x:c r="L153" s="15" t="n">
        <x:v>3.97</x:v>
      </x:c>
      <x:c r="M153" s="17" t="str">
        <x:v>Матриця + 0,15</x:v>
      </x:c>
    </x:row>
    <x:row r="154" ht="25" customHeight="1">
      <x:c r="A154" s="18" t="str">
        <x:v>H05V-R / H07V-R</x:v>
      </x:c>
      <x:c r="B154" s="19" t="n">
        <x:v>4</x:v>
      </x:c>
      <x:c r="C154" s="18" t="str">
        <x:v>Довідкові</x:v>
      </x:c>
      <x:c r="D154" s="20"/>
      <x:c r="E154" s="20"/>
      <x:c r="F154" s="20" t="n">
        <x:v>250</x:v>
      </x:c>
      <x:c r="G154" s="20" t="n">
        <x:v>20</x:v>
      </x:c>
      <x:c r="H154" s="20" t="n">
        <x:f>IF(F154="","",ROUND(F154/2,0))</x:f>
        <x:v>125</x:v>
      </x:c>
      <x:c r="I154" s="21" t="n">
        <x:v>2.6</x:v>
      </x:c>
      <x:c r="J154" s="21" t="n">
        <x:v>4.1</x:v>
      </x:c>
      <x:c r="K154" s="21"/>
      <x:c r="L154" s="21"/>
      <x:c r="M154" s="22" t="str">
        <x:v>IMG_3852.JPG</x:v>
      </x:c>
    </x:row>
    <x:row r="155" ht="25" customHeight="1">
      <x:c r="A155" s="10" t="str">
        <x:v>H05V-R / H07V-R</x:v>
      </x:c>
      <x:c r="B155" s="11" t="n">
        <x:v>4</x:v>
      </x:c>
      <x:c r="C155" s="23" t="str">
        <x:v>Практичні</x:v>
      </x:c>
      <x:c r="D155" s="24"/>
      <x:c r="E155" s="24"/>
      <x:c r="F155" s="24"/>
      <x:c r="G155" s="14" t="n">
        <x:v>20</x:v>
      </x:c>
      <x:c r="H155" s="14" t="str">
        <x:f>IF(F155="","",ROUND(F155/2,0))</x:f>
      </x:c>
      <x:c r="I155" s="15"/>
      <x:c r="J155" s="15"/>
      <x:c r="K155" s="15"/>
      <x:c r="L155" s="15"/>
      <x:c r="M155" s="17" t="str">
        <x:v>Ще немає заміру</x:v>
      </x:c>
    </x:row>
    <x:row r="156" ht="25" customHeight="1">
      <x:c r="A156" s="10" t="str">
        <x:v>H05V-R / H07V-R</x:v>
      </x:c>
      <x:c r="B156" s="11" t="n">
        <x:v>4</x:v>
      </x:c>
      <x:c r="C156" s="25" t="str">
        <x:v>Прогнозовані</x:v>
      </x:c>
      <x:c r="D156" s="26"/>
      <x:c r="E156" s="26"/>
      <x:c r="F156" s="26"/>
      <x:c r="G156" s="14" t="n">
        <x:v>20</x:v>
      </x:c>
      <x:c r="H156" s="14" t="str">
        <x:f>IF(F156="","",ROUND(F156/2,0))</x:f>
      </x:c>
      <x:c r="I156" s="15"/>
      <x:c r="J156" s="15"/>
      <x:c r="K156" s="15"/>
      <x:c r="L156" s="15" t="n">
        <x:v>4.25</x:v>
      </x:c>
      <x:c r="M156" s="17" t="str">
        <x:v>Матриця + 0,15</x:v>
      </x:c>
    </x:row>
    <x:row r="157" ht="25" customHeight="1">
      <x:c r="A157" s="18" t="str">
        <x:v>H05V-R / H07V-R</x:v>
      </x:c>
      <x:c r="B157" s="19" t="n">
        <x:v>6</x:v>
      </x:c>
      <x:c r="C157" s="18" t="str">
        <x:v>Довідкові</x:v>
      </x:c>
      <x:c r="D157" s="20"/>
      <x:c r="E157" s="20"/>
      <x:c r="F157" s="20" t="n">
        <x:v>200</x:v>
      </x:c>
      <x:c r="G157" s="20" t="n">
        <x:v>20</x:v>
      </x:c>
      <x:c r="H157" s="20" t="n">
        <x:f>IF(F157="","",ROUND(F157/2,0))</x:f>
        <x:v>100</x:v>
      </x:c>
      <x:c r="I157" s="21" t="n">
        <x:v>3.2</x:v>
      </x:c>
      <x:c r="J157" s="21" t="n">
        <x:v>4.6</x:v>
      </x:c>
      <x:c r="K157" s="21"/>
      <x:c r="L157" s="21"/>
      <x:c r="M157" s="22" t="str">
        <x:v>IMG_3852.JPG</x:v>
      </x:c>
    </x:row>
    <x:row r="158" ht="25" customHeight="1">
      <x:c r="A158" s="10" t="str">
        <x:v>H05V-R / H07V-R</x:v>
      </x:c>
      <x:c r="B158" s="11" t="n">
        <x:v>6</x:v>
      </x:c>
      <x:c r="C158" s="23" t="str">
        <x:v>Практичні</x:v>
      </x:c>
      <x:c r="D158" s="24"/>
      <x:c r="E158" s="24"/>
      <x:c r="F158" s="24"/>
      <x:c r="G158" s="14" t="n">
        <x:v>20</x:v>
      </x:c>
      <x:c r="H158" s="14" t="str">
        <x:f>IF(F158="","",ROUND(F158/2,0))</x:f>
      </x:c>
      <x:c r="I158" s="15"/>
      <x:c r="J158" s="15"/>
      <x:c r="K158" s="15"/>
      <x:c r="L158" s="15"/>
      <x:c r="M158" s="17" t="str">
        <x:v>Ще немає заміру</x:v>
      </x:c>
    </x:row>
    <x:row r="159" ht="25" customHeight="1">
      <x:c r="A159" s="10" t="str">
        <x:v>H05V-R / H07V-R</x:v>
      </x:c>
      <x:c r="B159" s="11" t="n">
        <x:v>6</x:v>
      </x:c>
      <x:c r="C159" s="25" t="str">
        <x:v>Прогнозовані</x:v>
      </x:c>
      <x:c r="D159" s="26"/>
      <x:c r="E159" s="26"/>
      <x:c r="F159" s="26"/>
      <x:c r="G159" s="14" t="n">
        <x:v>20</x:v>
      </x:c>
      <x:c r="H159" s="14" t="str">
        <x:f>IF(F159="","",ROUND(F159/2,0))</x:f>
      </x:c>
      <x:c r="I159" s="15"/>
      <x:c r="J159" s="15"/>
      <x:c r="K159" s="15"/>
      <x:c r="L159" s="15" t="n">
        <x:v>4.75</x:v>
      </x:c>
      <x:c r="M159" s="17" t="str">
        <x:v>Матриця + 0,15</x:v>
      </x:c>
    </x:row>
    <x:row r="160" ht="25" customHeight="1">
      <x:c r="A160" s="18" t="str">
        <x:v>H05V-K / H07V-K</x:v>
      </x:c>
      <x:c r="B160" s="19" t="n">
        <x:v>0.5</x:v>
      </x:c>
      <x:c r="C160" s="18" t="str">
        <x:v>Довідкові</x:v>
      </x:c>
      <x:c r="D160" s="20"/>
      <x:c r="E160" s="20"/>
      <x:c r="F160" s="20" t="n">
        <x:v>350</x:v>
      </x:c>
      <x:c r="G160" s="20" t="n">
        <x:v>20</x:v>
      </x:c>
      <x:c r="H160" s="20" t="n">
        <x:f>IF(F160="","",ROUND(F160/2,0))</x:f>
        <x:v>175</x:v>
      </x:c>
      <x:c r="I160" s="21" t="n">
        <x:v>1</x:v>
      </x:c>
      <x:c r="J160" s="21" t="n">
        <x:v>2.2</x:v>
      </x:c>
      <x:c r="K160" s="21"/>
      <x:c r="L160" s="21"/>
      <x:c r="M160" s="22" t="str">
        <x:v>IMG_3852.JPG</x:v>
      </x:c>
    </x:row>
    <x:row r="161" ht="25" customHeight="1">
      <x:c r="A161" s="10" t="str">
        <x:v>H05V-K / H07V-K</x:v>
      </x:c>
      <x:c r="B161" s="11" t="n">
        <x:v>0.5</x:v>
      </x:c>
      <x:c r="C161" s="23" t="str">
        <x:v>Практичні</x:v>
      </x:c>
      <x:c r="D161" s="24"/>
      <x:c r="E161" s="24"/>
      <x:c r="F161" s="24"/>
      <x:c r="G161" s="14" t="n">
        <x:v>20</x:v>
      </x:c>
      <x:c r="H161" s="14" t="str">
        <x:f>IF(F161="","",ROUND(F161/2,0))</x:f>
      </x:c>
      <x:c r="I161" s="15"/>
      <x:c r="J161" s="15"/>
      <x:c r="K161" s="15"/>
      <x:c r="L161" s="15"/>
      <x:c r="M161" s="17" t="str">
        <x:v>Ще немає заміру</x:v>
      </x:c>
    </x:row>
    <x:row r="162" ht="25" customHeight="1">
      <x:c r="A162" s="10" t="str">
        <x:v>H05V-K / H07V-K</x:v>
      </x:c>
      <x:c r="B162" s="11" t="n">
        <x:v>0.5</x:v>
      </x:c>
      <x:c r="C162" s="25" t="str">
        <x:v>Прогнозовані</x:v>
      </x:c>
      <x:c r="D162" s="26"/>
      <x:c r="E162" s="26"/>
      <x:c r="F162" s="26"/>
      <x:c r="G162" s="14" t="n">
        <x:v>20</x:v>
      </x:c>
      <x:c r="H162" s="14" t="str">
        <x:f>IF(F162="","",ROUND(F162/2,0))</x:f>
      </x:c>
      <x:c r="I162" s="15"/>
      <x:c r="J162" s="15"/>
      <x:c r="K162" s="15"/>
      <x:c r="L162" s="15" t="n">
        <x:v>2.35</x:v>
      </x:c>
      <x:c r="M162" s="17" t="str">
        <x:v>Матриця + 0,15</x:v>
      </x:c>
    </x:row>
    <x:row r="163" ht="25" customHeight="1">
      <x:c r="A163" s="18" t="str">
        <x:v>H05V-K / H07V-K</x:v>
      </x:c>
      <x:c r="B163" s="19" t="n">
        <x:v>0.75</x:v>
      </x:c>
      <x:c r="C163" s="18" t="str">
        <x:v>Довідкові</x:v>
      </x:c>
      <x:c r="D163" s="20"/>
      <x:c r="E163" s="20"/>
      <x:c r="F163" s="20" t="n">
        <x:v>350</x:v>
      </x:c>
      <x:c r="G163" s="20" t="n">
        <x:v>20</x:v>
      </x:c>
      <x:c r="H163" s="20" t="n">
        <x:f>IF(F163="","",ROUND(F163/2,0))</x:f>
        <x:v>175</x:v>
      </x:c>
      <x:c r="I163" s="21" t="n">
        <x:v>1.25</x:v>
      </x:c>
      <x:c r="J163" s="21" t="n">
        <x:v>2.4</x:v>
      </x:c>
      <x:c r="K163" s="21"/>
      <x:c r="L163" s="21"/>
      <x:c r="M163" s="22" t="str">
        <x:v>IMG_3852.JPG</x:v>
      </x:c>
    </x:row>
    <x:row r="164" ht="25" customHeight="1">
      <x:c r="A164" s="10" t="str">
        <x:v>H05V-K / H07V-K</x:v>
      </x:c>
      <x:c r="B164" s="11" t="n">
        <x:v>0.75</x:v>
      </x:c>
      <x:c r="C164" s="23" t="str">
        <x:v>Практичні</x:v>
      </x:c>
      <x:c r="D164" s="24"/>
      <x:c r="E164" s="24"/>
      <x:c r="F164" s="24"/>
      <x:c r="G164" s="14" t="n">
        <x:v>20</x:v>
      </x:c>
      <x:c r="H164" s="14" t="str">
        <x:f>IF(F164="","",ROUND(F164/2,0))</x:f>
      </x:c>
      <x:c r="I164" s="15"/>
      <x:c r="J164" s="15"/>
      <x:c r="K164" s="15"/>
      <x:c r="L164" s="15"/>
      <x:c r="M164" s="17" t="str">
        <x:v>Ще немає заміру</x:v>
      </x:c>
    </x:row>
    <x:row r="165" ht="25" customHeight="1">
      <x:c r="A165" s="10" t="str">
        <x:v>H05V-K / H07V-K</x:v>
      </x:c>
      <x:c r="B165" s="11" t="n">
        <x:v>0.75</x:v>
      </x:c>
      <x:c r="C165" s="25" t="str">
        <x:v>Прогнозовані</x:v>
      </x:c>
      <x:c r="D165" s="26"/>
      <x:c r="E165" s="26"/>
      <x:c r="F165" s="26"/>
      <x:c r="G165" s="14" t="n">
        <x:v>20</x:v>
      </x:c>
      <x:c r="H165" s="14" t="str">
        <x:f>IF(F165="","",ROUND(F165/2,0))</x:f>
      </x:c>
      <x:c r="I165" s="15"/>
      <x:c r="J165" s="15"/>
      <x:c r="K165" s="15"/>
      <x:c r="L165" s="15" t="n">
        <x:v>2.55</x:v>
      </x:c>
      <x:c r="M165" s="17" t="str">
        <x:v>Матриця + 0,15</x:v>
      </x:c>
    </x:row>
    <x:row r="166" ht="25" customHeight="1">
      <x:c r="A166" s="18" t="str">
        <x:v>H05V-K / H07V-K</x:v>
      </x:c>
      <x:c r="B166" s="19" t="n">
        <x:v>1</x:v>
      </x:c>
      <x:c r="C166" s="18" t="str">
        <x:v>Довідкові</x:v>
      </x:c>
      <x:c r="D166" s="20"/>
      <x:c r="E166" s="20"/>
      <x:c r="F166" s="20" t="n">
        <x:v>350</x:v>
      </x:c>
      <x:c r="G166" s="20" t="n">
        <x:v>20</x:v>
      </x:c>
      <x:c r="H166" s="20" t="n">
        <x:f>IF(F166="","",ROUND(F166/2,0))</x:f>
        <x:v>175</x:v>
      </x:c>
      <x:c r="I166" s="21" t="n">
        <x:v>1.35</x:v>
      </x:c>
      <x:c r="J166" s="21" t="n">
        <x:v>2.5</x:v>
      </x:c>
      <x:c r="K166" s="21"/>
      <x:c r="L166" s="21"/>
      <x:c r="M166" s="22" t="str">
        <x:v>IMG_3852.JPG</x:v>
      </x:c>
    </x:row>
    <x:row r="167" ht="25" customHeight="1">
      <x:c r="A167" s="10" t="str">
        <x:v>H05V-K / H07V-K</x:v>
      </x:c>
      <x:c r="B167" s="11" t="n">
        <x:v>1</x:v>
      </x:c>
      <x:c r="C167" s="23" t="str">
        <x:v>Практичні</x:v>
      </x:c>
      <x:c r="D167" s="24"/>
      <x:c r="E167" s="24"/>
      <x:c r="F167" s="24"/>
      <x:c r="G167" s="14" t="n">
        <x:v>20</x:v>
      </x:c>
      <x:c r="H167" s="14" t="str">
        <x:f>IF(F167="","",ROUND(F167/2,0))</x:f>
      </x:c>
      <x:c r="I167" s="15"/>
      <x:c r="J167" s="15"/>
      <x:c r="K167" s="15"/>
      <x:c r="L167" s="15"/>
      <x:c r="M167" s="17" t="str">
        <x:v>Ще немає заміру</x:v>
      </x:c>
    </x:row>
    <x:row r="168" ht="25" customHeight="1">
      <x:c r="A168" s="10" t="str">
        <x:v>H05V-K / H07V-K</x:v>
      </x:c>
      <x:c r="B168" s="11" t="n">
        <x:v>1</x:v>
      </x:c>
      <x:c r="C168" s="25" t="str">
        <x:v>Прогнозовані</x:v>
      </x:c>
      <x:c r="D168" s="26"/>
      <x:c r="E168" s="26"/>
      <x:c r="F168" s="26"/>
      <x:c r="G168" s="14" t="n">
        <x:v>20</x:v>
      </x:c>
      <x:c r="H168" s="14" t="str">
        <x:f>IF(F168="","",ROUND(F168/2,0))</x:f>
      </x:c>
      <x:c r="I168" s="15"/>
      <x:c r="J168" s="15"/>
      <x:c r="K168" s="15"/>
      <x:c r="L168" s="15" t="n">
        <x:v>2.65</x:v>
      </x:c>
      <x:c r="M168" s="17" t="str">
        <x:v>Матриця + 0,15</x:v>
      </x:c>
    </x:row>
    <x:row r="169" ht="25" customHeight="1">
      <x:c r="A169" s="18" t="str">
        <x:v>H05V-K / H07V-K</x:v>
      </x:c>
      <x:c r="B169" s="19" t="n">
        <x:v>1.5</x:v>
      </x:c>
      <x:c r="C169" s="18" t="str">
        <x:v>Довідкові</x:v>
      </x:c>
      <x:c r="D169" s="20"/>
      <x:c r="E169" s="20"/>
      <x:c r="F169" s="20" t="n">
        <x:v>350</x:v>
      </x:c>
      <x:c r="G169" s="20" t="n">
        <x:v>20</x:v>
      </x:c>
      <x:c r="H169" s="20" t="n">
        <x:f>IF(F169="","",ROUND(F169/2,0))</x:f>
        <x:v>175</x:v>
      </x:c>
      <x:c r="I169" s="21" t="n">
        <x:v>1.65</x:v>
      </x:c>
      <x:c r="J169" s="21" t="n">
        <x:v>2.95</x:v>
      </x:c>
      <x:c r="K169" s="21"/>
      <x:c r="L169" s="21"/>
      <x:c r="M169" s="22" t="str">
        <x:v>IMG_3852.JPG</x:v>
      </x:c>
    </x:row>
    <x:row r="170" ht="25" customHeight="1">
      <x:c r="A170" s="10" t="str">
        <x:v>H05V-K / H07V-K</x:v>
      </x:c>
      <x:c r="B170" s="11" t="n">
        <x:v>1.5</x:v>
      </x:c>
      <x:c r="C170" s="23" t="str">
        <x:v>Практичні</x:v>
      </x:c>
      <x:c r="D170" s="24"/>
      <x:c r="E170" s="24"/>
      <x:c r="F170" s="24"/>
      <x:c r="G170" s="14" t="n">
        <x:v>20</x:v>
      </x:c>
      <x:c r="H170" s="14" t="str">
        <x:f>IF(F170="","",ROUND(F170/2,0))</x:f>
      </x:c>
      <x:c r="I170" s="15"/>
      <x:c r="J170" s="15"/>
      <x:c r="K170" s="15"/>
      <x:c r="L170" s="15"/>
      <x:c r="M170" s="17" t="str">
        <x:v>Ще немає заміру</x:v>
      </x:c>
    </x:row>
    <x:row r="171" ht="25" customHeight="1">
      <x:c r="A171" s="10" t="str">
        <x:v>H05V-K / H07V-K</x:v>
      </x:c>
      <x:c r="B171" s="11" t="n">
        <x:v>1.5</x:v>
      </x:c>
      <x:c r="C171" s="25" t="str">
        <x:v>Прогнозовані</x:v>
      </x:c>
      <x:c r="D171" s="26"/>
      <x:c r="E171" s="26"/>
      <x:c r="F171" s="26"/>
      <x:c r="G171" s="14" t="n">
        <x:v>20</x:v>
      </x:c>
      <x:c r="H171" s="14" t="str">
        <x:f>IF(F171="","",ROUND(F171/2,0))</x:f>
      </x:c>
      <x:c r="I171" s="15"/>
      <x:c r="J171" s="15"/>
      <x:c r="K171" s="15"/>
      <x:c r="L171" s="15" t="n">
        <x:v>3.1</x:v>
      </x:c>
      <x:c r="M171" s="17" t="str">
        <x:v>Матриця + 0,15</x:v>
      </x:c>
    </x:row>
    <x:row r="172" ht="25" customHeight="1">
      <x:c r="A172" s="18" t="str">
        <x:v>H05V-K / H07V-K</x:v>
      </x:c>
      <x:c r="B172" s="19" t="n">
        <x:v>2.5</x:v>
      </x:c>
      <x:c r="C172" s="18" t="str">
        <x:v>Довідкові</x:v>
      </x:c>
      <x:c r="D172" s="20"/>
      <x:c r="E172" s="20"/>
      <x:c r="F172" s="20" t="n">
        <x:v>350</x:v>
      </x:c>
      <x:c r="G172" s="20" t="n">
        <x:v>20</x:v>
      </x:c>
      <x:c r="H172" s="20" t="n">
        <x:f>IF(F172="","",ROUND(F172/2,0))</x:f>
        <x:v>175</x:v>
      </x:c>
      <x:c r="I172" s="21" t="n">
        <x:v>2.1</x:v>
      </x:c>
      <x:c r="J172" s="21" t="n">
        <x:v>3.6</x:v>
      </x:c>
      <x:c r="K172" s="21"/>
      <x:c r="L172" s="21"/>
      <x:c r="M172" s="22" t="str">
        <x:v>IMG_3852.JPG</x:v>
      </x:c>
    </x:row>
    <x:row r="173" ht="25" customHeight="1">
      <x:c r="A173" s="10" t="str">
        <x:v>H05V-K / H07V-K</x:v>
      </x:c>
      <x:c r="B173" s="11" t="n">
        <x:v>2.5</x:v>
      </x:c>
      <x:c r="C173" s="23" t="str">
        <x:v>Практичні</x:v>
      </x:c>
      <x:c r="D173" s="24"/>
      <x:c r="E173" s="24"/>
      <x:c r="F173" s="24"/>
      <x:c r="G173" s="14" t="n">
        <x:v>20</x:v>
      </x:c>
      <x:c r="H173" s="14" t="str">
        <x:f>IF(F173="","",ROUND(F173/2,0))</x:f>
      </x:c>
      <x:c r="I173" s="15"/>
      <x:c r="J173" s="15"/>
      <x:c r="K173" s="15"/>
      <x:c r="L173" s="15"/>
      <x:c r="M173" s="17" t="str">
        <x:v>Ще немає заміру</x:v>
      </x:c>
    </x:row>
    <x:row r="174" ht="25" customHeight="1">
      <x:c r="A174" s="10" t="str">
        <x:v>H05V-K / H07V-K</x:v>
      </x:c>
      <x:c r="B174" s="11" t="n">
        <x:v>2.5</x:v>
      </x:c>
      <x:c r="C174" s="25" t="str">
        <x:v>Прогнозовані</x:v>
      </x:c>
      <x:c r="D174" s="26"/>
      <x:c r="E174" s="26"/>
      <x:c r="F174" s="26"/>
      <x:c r="G174" s="14" t="n">
        <x:v>20</x:v>
      </x:c>
      <x:c r="H174" s="14" t="str">
        <x:f>IF(F174="","",ROUND(F174/2,0))</x:f>
      </x:c>
      <x:c r="I174" s="15"/>
      <x:c r="J174" s="15"/>
      <x:c r="K174" s="15"/>
      <x:c r="L174" s="15" t="n">
        <x:v>3.75</x:v>
      </x:c>
      <x:c r="M174" s="17" t="str">
        <x:v>Матриця + 0,15</x:v>
      </x:c>
    </x:row>
    <x:row r="175" ht="25" customHeight="1">
      <x:c r="A175" s="18" t="str">
        <x:v>H05V-K / H07V-K</x:v>
      </x:c>
      <x:c r="B175" s="19" t="n">
        <x:v>4</x:v>
      </x:c>
      <x:c r="C175" s="18" t="str">
        <x:v>Довідкові</x:v>
      </x:c>
      <x:c r="D175" s="20"/>
      <x:c r="E175" s="20"/>
      <x:c r="F175" s="20" t="n">
        <x:v>250</x:v>
      </x:c>
      <x:c r="G175" s="20" t="n">
        <x:v>20</x:v>
      </x:c>
      <x:c r="H175" s="20" t="n">
        <x:f>IF(F175="","",ROUND(F175/2,0))</x:f>
        <x:v>125</x:v>
      </x:c>
      <x:c r="I175" s="21" t="n">
        <x:v>2.6</x:v>
      </x:c>
      <x:c r="J175" s="21" t="n">
        <x:v>4.2</x:v>
      </x:c>
      <x:c r="K175" s="21"/>
      <x:c r="L175" s="21"/>
      <x:c r="M175" s="22" t="str">
        <x:v>IMG_3852.JPG</x:v>
      </x:c>
    </x:row>
    <x:row r="176" ht="25" customHeight="1">
      <x:c r="A176" s="10" t="str">
        <x:v>H05V-K / H07V-K</x:v>
      </x:c>
      <x:c r="B176" s="11" t="n">
        <x:v>4</x:v>
      </x:c>
      <x:c r="C176" s="23" t="str">
        <x:v>Практичні</x:v>
      </x:c>
      <x:c r="D176" s="24"/>
      <x:c r="E176" s="24"/>
      <x:c r="F176" s="24"/>
      <x:c r="G176" s="14" t="n">
        <x:v>20</x:v>
      </x:c>
      <x:c r="H176" s="14" t="str">
        <x:f>IF(F176="","",ROUND(F176/2,0))</x:f>
      </x:c>
      <x:c r="I176" s="15"/>
      <x:c r="J176" s="15"/>
      <x:c r="K176" s="15"/>
      <x:c r="L176" s="15"/>
      <x:c r="M176" s="17" t="str">
        <x:v>Ще немає заміру</x:v>
      </x:c>
    </x:row>
    <x:row r="177" ht="25" customHeight="1">
      <x:c r="A177" s="10" t="str">
        <x:v>H05V-K / H07V-K</x:v>
      </x:c>
      <x:c r="B177" s="11" t="n">
        <x:v>4</x:v>
      </x:c>
      <x:c r="C177" s="25" t="str">
        <x:v>Прогнозовані</x:v>
      </x:c>
      <x:c r="D177" s="26"/>
      <x:c r="E177" s="26"/>
      <x:c r="F177" s="26"/>
      <x:c r="G177" s="14" t="n">
        <x:v>20</x:v>
      </x:c>
      <x:c r="H177" s="14" t="str">
        <x:f>IF(F177="","",ROUND(F177/2,0))</x:f>
      </x:c>
      <x:c r="I177" s="15"/>
      <x:c r="J177" s="15"/>
      <x:c r="K177" s="15"/>
      <x:c r="L177" s="15" t="n">
        <x:v>4.35</x:v>
      </x:c>
      <x:c r="M177" s="17" t="str">
        <x:v>Матриця + 0,15</x:v>
      </x:c>
    </x:row>
    <x:row r="178" ht="25" customHeight="1">
      <x:c r="A178" s="18" t="str">
        <x:v>H05V-K / H07V-K</x:v>
      </x:c>
      <x:c r="B178" s="19" t="n">
        <x:v>6</x:v>
      </x:c>
      <x:c r="C178" s="18" t="str">
        <x:v>Довідкові</x:v>
      </x:c>
      <x:c r="D178" s="20"/>
      <x:c r="E178" s="20"/>
      <x:c r="F178" s="20" t="n">
        <x:v>250</x:v>
      </x:c>
      <x:c r="G178" s="20" t="n">
        <x:v>20</x:v>
      </x:c>
      <x:c r="H178" s="20" t="n">
        <x:f>IF(F178="","",ROUND(F178/2,0))</x:f>
        <x:v>125</x:v>
      </x:c>
      <x:c r="I178" s="21" t="n">
        <x:v>3.2</x:v>
      </x:c>
      <x:c r="J178" s="21" t="n">
        <x:v>4.7</x:v>
      </x:c>
      <x:c r="K178" s="21"/>
      <x:c r="L178" s="21"/>
      <x:c r="M178" s="22" t="str">
        <x:v>IMG_3852.JPG</x:v>
      </x:c>
    </x:row>
    <x:row r="179" ht="25" customHeight="1">
      <x:c r="A179" s="10" t="str">
        <x:v>H05V-K / H07V-K</x:v>
      </x:c>
      <x:c r="B179" s="11" t="n">
        <x:v>6</x:v>
      </x:c>
      <x:c r="C179" s="23" t="str">
        <x:v>Практичні</x:v>
      </x:c>
      <x:c r="D179" s="24"/>
      <x:c r="E179" s="24"/>
      <x:c r="F179" s="24"/>
      <x:c r="G179" s="14" t="n">
        <x:v>20</x:v>
      </x:c>
      <x:c r="H179" s="14" t="str">
        <x:f>IF(F179="","",ROUND(F179/2,0))</x:f>
      </x:c>
      <x:c r="I179" s="15"/>
      <x:c r="J179" s="15"/>
      <x:c r="K179" s="15"/>
      <x:c r="L179" s="15"/>
      <x:c r="M179" s="17" t="str">
        <x:v>Ще немає заміру</x:v>
      </x:c>
    </x:row>
    <x:row r="180" ht="25" customHeight="1">
      <x:c r="A180" s="10" t="str">
        <x:v>H05V-K / H07V-K</x:v>
      </x:c>
      <x:c r="B180" s="11" t="n">
        <x:v>6</x:v>
      </x:c>
      <x:c r="C180" s="25" t="str">
        <x:v>Прогнозовані</x:v>
      </x:c>
      <x:c r="D180" s="26"/>
      <x:c r="E180" s="26"/>
      <x:c r="F180" s="26"/>
      <x:c r="G180" s="14" t="n">
        <x:v>20</x:v>
      </x:c>
      <x:c r="H180" s="14" t="str">
        <x:f>IF(F180="","",ROUND(F180/2,0))</x:f>
      </x:c>
      <x:c r="I180" s="15"/>
      <x:c r="J180" s="15"/>
      <x:c r="K180" s="15"/>
      <x:c r="L180" s="15" t="n">
        <x:v>4.85</x:v>
      </x:c>
      <x:c r="M180" s="17" t="str">
        <x:v>Матриця + 0,15</x:v>
      </x:c>
    </x:row>
    <x:row r="181" ht="25" customHeight="1">
      <x:c r="A181" s="18" t="str">
        <x:v>YSLY / MYYS / (H)05VV-F / Z-FLEX CLASSIC</x:v>
      </x:c>
      <x:c r="B181" s="19" t="n">
        <x:v>0.5</x:v>
      </x:c>
      <x:c r="C181" s="18" t="str">
        <x:v>Довідкові</x:v>
      </x:c>
      <x:c r="D181" s="20"/>
      <x:c r="E181" s="20"/>
      <x:c r="F181" s="20" t="n">
        <x:v>350</x:v>
      </x:c>
      <x:c r="G181" s="20" t="n">
        <x:v>20</x:v>
      </x:c>
      <x:c r="H181" s="20" t="n">
        <x:f>IF(F181="","",ROUND(F181/2,0))</x:f>
        <x:v>175</x:v>
      </x:c>
      <x:c r="I181" s="21" t="n">
        <x:v>1</x:v>
      </x:c>
      <x:c r="J181" s="21" t="n">
        <x:v>1.7</x:v>
      </x:c>
      <x:c r="K181" s="21"/>
      <x:c r="L181" s="21"/>
      <x:c r="M181" s="22" t="str">
        <x:v>IMG_3853.JPG</x:v>
      </x:c>
    </x:row>
    <x:row r="182" ht="25" customHeight="1">
      <x:c r="A182" s="10" t="str">
        <x:v>YSLY / MYYS / (H)05VV-F / Z-FLEX CLASSIC</x:v>
      </x:c>
      <x:c r="B182" s="11" t="n">
        <x:v>0.5</x:v>
      </x:c>
      <x:c r="C182" s="23" t="str">
        <x:v>Практичні</x:v>
      </x:c>
      <x:c r="D182" s="24"/>
      <x:c r="E182" s="24"/>
      <x:c r="F182" s="24"/>
      <x:c r="G182" s="14" t="n">
        <x:v>20</x:v>
      </x:c>
      <x:c r="H182" s="14" t="str">
        <x:f>IF(F182="","",ROUND(F182/2,0))</x:f>
      </x:c>
      <x:c r="I182" s="15"/>
      <x:c r="J182" s="15"/>
      <x:c r="K182" s="15"/>
      <x:c r="L182" s="15"/>
      <x:c r="M182" s="17" t="str">
        <x:v>Ще немає заміру</x:v>
      </x:c>
    </x:row>
    <x:row r="183" ht="25" customHeight="1">
      <x:c r="A183" s="10" t="str">
        <x:v>YSLY / MYYS / (H)05VV-F / Z-FLEX CLASSIC</x:v>
      </x:c>
      <x:c r="B183" s="11" t="n">
        <x:v>0.5</x:v>
      </x:c>
      <x:c r="C183" s="25" t="str">
        <x:v>Прогнозовані</x:v>
      </x:c>
      <x:c r="D183" s="26" t="n">
        <x:v>27</x:v>
      </x:c>
      <x:c r="E183" s="26" t="n">
        <x:v>49</x:v>
      </x:c>
      <x:c r="F183" s="26" t="n">
        <x:v>350</x:v>
      </x:c>
      <x:c r="G183" s="14" t="n">
        <x:v>20</x:v>
      </x:c>
      <x:c r="H183" s="14" t="n">
        <x:f>IF(F183="","",ROUND(F183/2,0))</x:f>
        <x:v>175</x:v>
      </x:c>
      <x:c r="I183" s="15"/>
      <x:c r="J183" s="15"/>
      <x:c r="K183" s="15"/>
      <x:c r="L183" s="15" t="n">
        <x:v>1.85</x:v>
      </x:c>
      <x:c r="M183" s="17" t="str">
        <x:v>DRAW_4.JPG</x:v>
      </x:c>
    </x:row>
    <x:row r="184" ht="25" customHeight="1">
      <x:c r="A184" s="18" t="str">
        <x:v>YSLY / MYYS / (H)05VV-F / Z-FLEX CLASSIC</x:v>
      </x:c>
      <x:c r="B184" s="19" t="n">
        <x:v>0.75</x:v>
      </x:c>
      <x:c r="C184" s="18" t="str">
        <x:v>Довідкові</x:v>
      </x:c>
      <x:c r="D184" s="20"/>
      <x:c r="E184" s="20"/>
      <x:c r="F184" s="20" t="n">
        <x:v>350</x:v>
      </x:c>
      <x:c r="G184" s="20" t="n">
        <x:v>20</x:v>
      </x:c>
      <x:c r="H184" s="20" t="n">
        <x:f>IF(F184="","",ROUND(F184/2,0))</x:f>
        <x:v>175</x:v>
      </x:c>
      <x:c r="I184" s="21" t="n">
        <x:v>1.2</x:v>
      </x:c>
      <x:c r="J184" s="21" t="n">
        <x:v>1.9</x:v>
      </x:c>
      <x:c r="K184" s="21"/>
      <x:c r="L184" s="21"/>
      <x:c r="M184" s="22" t="str">
        <x:v>IMG_3853.JPG</x:v>
      </x:c>
    </x:row>
    <x:row r="185" ht="25" customHeight="1">
      <x:c r="A185" s="10" t="str">
        <x:v>YSLY / MYYS / (H)05VV-F / Z-FLEX CLASSIC</x:v>
      </x:c>
      <x:c r="B185" s="11" t="n">
        <x:v>0.75</x:v>
      </x:c>
      <x:c r="C185" s="23" t="str">
        <x:v>Практичні</x:v>
      </x:c>
      <x:c r="D185" s="24" t="n">
        <x:v>39</x:v>
      </x:c>
      <x:c r="E185" s="24" t="n">
        <x:v>70</x:v>
      </x:c>
      <x:c r="F185" s="24" t="n">
        <x:v>350</x:v>
      </x:c>
      <x:c r="G185" s="14" t="n">
        <x:v>20</x:v>
      </x:c>
      <x:c r="H185" s="14" t="n">
        <x:f>IF(F185="","",ROUND(F185/2,0))</x:f>
        <x:v>175</x:v>
      </x:c>
      <x:c r="I185" s="15" t="n">
        <x:v>1.2</x:v>
      </x:c>
      <x:c r="J185" s="15" t="n">
        <x:v>1.9</x:v>
      </x:c>
      <x:c r="K185" s="15" t="n">
        <x:v>1.1</x:v>
      </x:c>
      <x:c r="L185" s="15" t="n">
        <x:v>2.05</x:v>
      </x:c>
      <x:c r="M185" s="17" t="str">
        <x:v>DRAW_4.JPG</x:v>
      </x:c>
    </x:row>
    <x:row r="186" ht="25" customHeight="1">
      <x:c r="A186" s="10" t="str">
        <x:v>YSLY / MYYS / (H)05VV-F / Z-FLEX CLASSIC</x:v>
      </x:c>
      <x:c r="B186" s="11" t="n">
        <x:v>0.75</x:v>
      </x:c>
      <x:c r="C186" s="25" t="str">
        <x:v>Прогнозовані</x:v>
      </x:c>
      <x:c r="D186" s="26"/>
      <x:c r="E186" s="26"/>
      <x:c r="F186" s="26"/>
      <x:c r="G186" s="14" t="n">
        <x:v>20</x:v>
      </x:c>
      <x:c r="H186" s="14" t="str">
        <x:f>IF(F186="","",ROUND(F186/2,0))</x:f>
      </x:c>
      <x:c r="I186" s="15"/>
      <x:c r="J186" s="15"/>
      <x:c r="K186" s="15"/>
      <x:c r="L186" s="15"/>
      <x:c r="M186" s="17" t="str">
        <x:v>Є практичні значення</x:v>
      </x:c>
    </x:row>
    <x:row r="187" ht="25" customHeight="1">
      <x:c r="A187" s="18" t="str">
        <x:v>YSLY / MYYS / (H)05VV-F / Z-FLEX CLASSIC</x:v>
      </x:c>
      <x:c r="B187" s="19" t="n">
        <x:v>1</x:v>
      </x:c>
      <x:c r="C187" s="18" t="str">
        <x:v>Довідкові</x:v>
      </x:c>
      <x:c r="D187" s="20"/>
      <x:c r="E187" s="20"/>
      <x:c r="F187" s="20" t="n">
        <x:v>350</x:v>
      </x:c>
      <x:c r="G187" s="20" t="n">
        <x:v>20</x:v>
      </x:c>
      <x:c r="H187" s="20" t="n">
        <x:f>IF(F187="","",ROUND(F187/2,0))</x:f>
        <x:v>175</x:v>
      </x:c>
      <x:c r="I187" s="21" t="n">
        <x:v>1.3</x:v>
      </x:c>
      <x:c r="J187" s="21" t="n">
        <x:v>2</x:v>
      </x:c>
      <x:c r="K187" s="21"/>
      <x:c r="L187" s="21"/>
      <x:c r="M187" s="22" t="str">
        <x:v>IMG_3853.JPG</x:v>
      </x:c>
    </x:row>
    <x:row r="188" ht="25" customHeight="1">
      <x:c r="A188" s="10" t="str">
        <x:v>YSLY / MYYS / (H)05VV-F / Z-FLEX CLASSIC</x:v>
      </x:c>
      <x:c r="B188" s="11" t="n">
        <x:v>1</x:v>
      </x:c>
      <x:c r="C188" s="23" t="str">
        <x:v>Практичні</x:v>
      </x:c>
      <x:c r="D188" s="24" t="n">
        <x:v>38</x:v>
      </x:c>
      <x:c r="E188" s="24" t="n">
        <x:v>95</x:v>
      </x:c>
      <x:c r="F188" s="24" t="n">
        <x:v>425</x:v>
      </x:c>
      <x:c r="G188" s="14" t="n">
        <x:v>20</x:v>
      </x:c>
      <x:c r="H188" s="14" t="n">
        <x:f>IF(F188="","",ROUND(F188/2,0))</x:f>
        <x:v>213</x:v>
      </x:c>
      <x:c r="I188" s="15" t="n">
        <x:v>1.35</x:v>
      </x:c>
      <x:c r="J188" s="15" t="n">
        <x:v>2.1</x:v>
      </x:c>
      <x:c r="K188" s="15" t="n">
        <x:v>1.2</x:v>
      </x:c>
      <x:c r="L188" s="15" t="n">
        <x:v>2.12</x:v>
      </x:c>
      <x:c r="M188" s="17" t="str">
        <x:v>DRAW_4.JPG</x:v>
      </x:c>
    </x:row>
    <x:row r="189" ht="25" customHeight="1">
      <x:c r="A189" s="10" t="str">
        <x:v>YSLY / MYYS / (H)05VV-F / Z-FLEX CLASSIC</x:v>
      </x:c>
      <x:c r="B189" s="11" t="n">
        <x:v>1</x:v>
      </x:c>
      <x:c r="C189" s="25" t="str">
        <x:v>Прогнозовані</x:v>
      </x:c>
      <x:c r="D189" s="26"/>
      <x:c r="E189" s="26"/>
      <x:c r="F189" s="26"/>
      <x:c r="G189" s="14" t="n">
        <x:v>20</x:v>
      </x:c>
      <x:c r="H189" s="14" t="str">
        <x:f>IF(F189="","",ROUND(F189/2,0))</x:f>
      </x:c>
      <x:c r="I189" s="15"/>
      <x:c r="J189" s="15"/>
      <x:c r="K189" s="15"/>
      <x:c r="L189" s="15"/>
      <x:c r="M189" s="17" t="str">
        <x:v>Є практичні значення</x:v>
      </x:c>
    </x:row>
    <x:row r="190" ht="25" customHeight="1">
      <x:c r="A190" s="18" t="str">
        <x:v>YSLY / MYYS / (H)05VV-F / Z-FLEX CLASSIC</x:v>
      </x:c>
      <x:c r="B190" s="19" t="n">
        <x:v>1.5</x:v>
      </x:c>
      <x:c r="C190" s="18" t="str">
        <x:v>Довідкові</x:v>
      </x:c>
      <x:c r="D190" s="20"/>
      <x:c r="E190" s="20"/>
      <x:c r="F190" s="20" t="n">
        <x:v>350</x:v>
      </x:c>
      <x:c r="G190" s="20" t="n">
        <x:v>20</x:v>
      </x:c>
      <x:c r="H190" s="20" t="n">
        <x:f>IF(F190="","",ROUND(F190/2,0))</x:f>
        <x:v>175</x:v>
      </x:c>
      <x:c r="I190" s="21" t="n">
        <x:v>1.6</x:v>
      </x:c>
      <x:c r="J190" s="21" t="n">
        <x:v>2.33</x:v>
      </x:c>
      <x:c r="K190" s="21"/>
      <x:c r="L190" s="21"/>
      <x:c r="M190" s="22" t="str">
        <x:v>IMG_3853.JPG</x:v>
      </x:c>
    </x:row>
    <x:row r="191" ht="25" customHeight="1">
      <x:c r="A191" s="10" t="str">
        <x:v>YSLY / MYYS / (H)05VV-F / Z-FLEX CLASSIC</x:v>
      </x:c>
      <x:c r="B191" s="11" t="n">
        <x:v>1.5</x:v>
      </x:c>
      <x:c r="C191" s="23" t="str">
        <x:v>Практичні</x:v>
      </x:c>
      <x:c r="D191" s="24"/>
      <x:c r="E191" s="24"/>
      <x:c r="F191" s="24"/>
      <x:c r="G191" s="14" t="n">
        <x:v>20</x:v>
      </x:c>
      <x:c r="H191" s="14" t="str">
        <x:f>IF(F191="","",ROUND(F191/2,0))</x:f>
      </x:c>
      <x:c r="I191" s="15"/>
      <x:c r="J191" s="15"/>
      <x:c r="K191" s="15"/>
      <x:c r="L191" s="15"/>
      <x:c r="M191" s="17" t="str">
        <x:v>Ще немає заміру</x:v>
      </x:c>
    </x:row>
    <x:row r="192" ht="25" customHeight="1">
      <x:c r="A192" s="10" t="str">
        <x:v>YSLY / MYYS / (H)05VV-F / Z-FLEX CLASSIC</x:v>
      </x:c>
      <x:c r="B192" s="11" t="n">
        <x:v>1.5</x:v>
      </x:c>
      <x:c r="C192" s="25" t="str">
        <x:v>Прогнозовані</x:v>
      </x:c>
      <x:c r="D192" s="26" t="n">
        <x:v>44</x:v>
      </x:c>
      <x:c r="E192" s="26" t="n">
        <x:v>95</x:v>
      </x:c>
      <x:c r="F192" s="26" t="n">
        <x:v>439</x:v>
      </x:c>
      <x:c r="G192" s="14" t="n">
        <x:v>20</x:v>
      </x:c>
      <x:c r="H192" s="14" t="n">
        <x:f>IF(F192="","",ROUND(F192/2,0))</x:f>
        <x:v>220</x:v>
      </x:c>
      <x:c r="I192" s="15"/>
      <x:c r="J192" s="15"/>
      <x:c r="K192" s="15"/>
      <x:c r="L192" s="15" t="n">
        <x:v>2.48</x:v>
      </x:c>
      <x:c r="M192" s="17" t="str">
        <x:v>DRAW_4.JPG</x:v>
      </x:c>
    </x:row>
    <x:row r="193" ht="25" customHeight="1">
      <x:c r="A193" s="18" t="str">
        <x:v>YSLY / MYYS / (H)05VV-F / Z-FLEX CLASSIC</x:v>
      </x:c>
      <x:c r="B193" s="19" t="n">
        <x:v>2.5</x:v>
      </x:c>
      <x:c r="C193" s="18" t="str">
        <x:v>Довідкові</x:v>
      </x:c>
      <x:c r="D193" s="20"/>
      <x:c r="E193" s="20"/>
      <x:c r="F193" s="20" t="n">
        <x:v>300</x:v>
      </x:c>
      <x:c r="G193" s="20" t="n">
        <x:v>20</x:v>
      </x:c>
      <x:c r="H193" s="20" t="n">
        <x:f>IF(F193="","",ROUND(F193/2,0))</x:f>
        <x:v>150</x:v>
      </x:c>
      <x:c r="I193" s="21" t="n">
        <x:v>2.1</x:v>
      </x:c>
      <x:c r="J193" s="21" t="n">
        <x:v>3</x:v>
      </x:c>
      <x:c r="K193" s="21"/>
      <x:c r="L193" s="21"/>
      <x:c r="M193" s="22" t="str">
        <x:v>IMG_3853.JPG</x:v>
      </x:c>
    </x:row>
    <x:row r="194" ht="25" customHeight="1">
      <x:c r="A194" s="10" t="str">
        <x:v>YSLY / MYYS / (H)05VV-F / Z-FLEX CLASSIC</x:v>
      </x:c>
      <x:c r="B194" s="11" t="n">
        <x:v>2.5</x:v>
      </x:c>
      <x:c r="C194" s="23" t="str">
        <x:v>Практичні</x:v>
      </x:c>
      <x:c r="D194" s="24" t="n">
        <x:v>86</x:v>
      </x:c>
      <x:c r="E194" s="24" t="n">
        <x:v>140</x:v>
      </x:c>
      <x:c r="F194" s="24" t="n">
        <x:v>400</x:v>
      </x:c>
      <x:c r="G194" s="14" t="n">
        <x:v>20</x:v>
      </x:c>
      <x:c r="H194" s="14" t="n">
        <x:f>IF(F194="","",ROUND(F194/2,0))</x:f>
        <x:v>200</x:v>
      </x:c>
      <x:c r="I194" s="15" t="n">
        <x:v>2.1</x:v>
      </x:c>
      <x:c r="J194" s="15" t="n">
        <x:v>3</x:v>
      </x:c>
      <x:c r="K194" s="15" t="n">
        <x:v>2.1</x:v>
      </x:c>
      <x:c r="L194" s="15" t="n">
        <x:v>3.15</x:v>
      </x:c>
      <x:c r="M194" s="17" t="str">
        <x:v>DRAW_4.JPG</x:v>
      </x:c>
    </x:row>
    <x:row r="195" ht="25" customHeight="1">
      <x:c r="A195" s="10" t="str">
        <x:v>YSLY / MYYS / (H)05VV-F / Z-FLEX CLASSIC</x:v>
      </x:c>
      <x:c r="B195" s="11" t="n">
        <x:v>2.5</x:v>
      </x:c>
      <x:c r="C195" s="25" t="str">
        <x:v>Прогнозовані</x:v>
      </x:c>
      <x:c r="D195" s="26"/>
      <x:c r="E195" s="26"/>
      <x:c r="F195" s="26"/>
      <x:c r="G195" s="14" t="n">
        <x:v>20</x:v>
      </x:c>
      <x:c r="H195" s="14" t="str">
        <x:f>IF(F195="","",ROUND(F195/2,0))</x:f>
      </x:c>
      <x:c r="I195" s="15"/>
      <x:c r="J195" s="15"/>
      <x:c r="K195" s="15"/>
      <x:c r="L195" s="15"/>
      <x:c r="M195" s="17" t="str">
        <x:v>Є практичні значення</x:v>
      </x:c>
    </x:row>
    <x:row r="196" ht="25" customHeight="1">
      <x:c r="A196" s="18" t="str">
        <x:v>YSLY / MYYS / (H)05VV-F / Z-FLEX CLASSIC</x:v>
      </x:c>
      <x:c r="B196" s="19" t="n">
        <x:v>4</x:v>
      </x:c>
      <x:c r="C196" s="18" t="str">
        <x:v>Довідкові</x:v>
      </x:c>
      <x:c r="D196" s="20"/>
      <x:c r="E196" s="20"/>
      <x:c r="F196" s="20" t="n">
        <x:v>230</x:v>
      </x:c>
      <x:c r="G196" s="20" t="n">
        <x:v>20</x:v>
      </x:c>
      <x:c r="H196" s="20" t="n">
        <x:f>IF(F196="","",ROUND(F196/2,0))</x:f>
        <x:v>115</x:v>
      </x:c>
      <x:c r="I196" s="21" t="n">
        <x:v>2.6</x:v>
      </x:c>
      <x:c r="J196" s="21" t="n">
        <x:v>3.5</x:v>
      </x:c>
      <x:c r="K196" s="21"/>
      <x:c r="L196" s="21"/>
      <x:c r="M196" s="22" t="str">
        <x:v>IMG_3853.JPG</x:v>
      </x:c>
    </x:row>
    <x:row r="197" ht="25" customHeight="1">
      <x:c r="A197" s="10" t="str">
        <x:v>YSLY / MYYS / (H)05VV-F / Z-FLEX CLASSIC</x:v>
      </x:c>
      <x:c r="B197" s="11" t="n">
        <x:v>4</x:v>
      </x:c>
      <x:c r="C197" s="23" t="str">
        <x:v>Практичні</x:v>
      </x:c>
      <x:c r="D197" s="24" t="n">
        <x:v>66</x:v>
      </x:c>
      <x:c r="E197" s="24" t="n">
        <x:v>100</x:v>
      </x:c>
      <x:c r="F197" s="24" t="n">
        <x:v>250</x:v>
      </x:c>
      <x:c r="G197" s="14" t="n">
        <x:v>20</x:v>
      </x:c>
      <x:c r="H197" s="14" t="n">
        <x:f>IF(F197="","",ROUND(F197/2,0))</x:f>
        <x:v>125</x:v>
      </x:c>
      <x:c r="I197" s="15" t="n">
        <x:v>2.6</x:v>
      </x:c>
      <x:c r="J197" s="15" t="n">
        <x:v>3.5</x:v>
      </x:c>
      <x:c r="K197" s="15" t="n">
        <x:v>2.5</x:v>
      </x:c>
      <x:c r="L197" s="15" t="n">
        <x:v>3.68</x:v>
      </x:c>
      <x:c r="M197" s="17" t="str">
        <x:v>DRAW_4.JPG</x:v>
      </x:c>
    </x:row>
    <x:row r="198" ht="25" customHeight="1">
      <x:c r="A198" s="10" t="str">
        <x:v>YSLY / MYYS / (H)05VV-F / Z-FLEX CLASSIC</x:v>
      </x:c>
      <x:c r="B198" s="11" t="n">
        <x:v>4</x:v>
      </x:c>
      <x:c r="C198" s="25" t="str">
        <x:v>Прогнозовані</x:v>
      </x:c>
      <x:c r="D198" s="26"/>
      <x:c r="E198" s="26"/>
      <x:c r="F198" s="26"/>
      <x:c r="G198" s="14" t="n">
        <x:v>20</x:v>
      </x:c>
      <x:c r="H198" s="14" t="str">
        <x:f>IF(F198="","",ROUND(F198/2,0))</x:f>
      </x:c>
      <x:c r="I198" s="15"/>
      <x:c r="J198" s="15"/>
      <x:c r="K198" s="15"/>
      <x:c r="L198" s="15"/>
      <x:c r="M198" s="17" t="str">
        <x:v>Є практичні значення</x:v>
      </x:c>
    </x:row>
    <x:row r="199" ht="25" customHeight="1">
      <x:c r="A199" s="18" t="str">
        <x:v>YSLY / MYYS / (H)05VV-F / Z-FLEX CLASSIC</x:v>
      </x:c>
      <x:c r="B199" s="19" t="n">
        <x:v>6</x:v>
      </x:c>
      <x:c r="C199" s="18" t="str">
        <x:v>Довідкові</x:v>
      </x:c>
      <x:c r="D199" s="20"/>
      <x:c r="E199" s="20"/>
      <x:c r="F199" s="20" t="n">
        <x:v>210</x:v>
      </x:c>
      <x:c r="G199" s="20" t="n">
        <x:v>20</x:v>
      </x:c>
      <x:c r="H199" s="20" t="n">
        <x:f>IF(F199="","",ROUND(F199/2,0))</x:f>
        <x:v>105</x:v>
      </x:c>
      <x:c r="I199" s="21" t="n">
        <x:v>3.2</x:v>
      </x:c>
      <x:c r="J199" s="21" t="n">
        <x:v>4.2</x:v>
      </x:c>
      <x:c r="K199" s="21"/>
      <x:c r="L199" s="21"/>
      <x:c r="M199" s="22" t="str">
        <x:v>IMG_3853.JPG</x:v>
      </x:c>
    </x:row>
    <x:row r="200" ht="25" customHeight="1">
      <x:c r="A200" s="10" t="str">
        <x:v>YSLY / MYYS / (H)05VV-F / Z-FLEX CLASSIC</x:v>
      </x:c>
      <x:c r="B200" s="11" t="n">
        <x:v>6</x:v>
      </x:c>
      <x:c r="C200" s="23" t="str">
        <x:v>Практичні</x:v>
      </x:c>
      <x:c r="D200" s="24" t="n">
        <x:v>91</x:v>
      </x:c>
      <x:c r="E200" s="24" t="n">
        <x:v>156</x:v>
      </x:c>
      <x:c r="F200" s="24" t="n">
        <x:v>260</x:v>
      </x:c>
      <x:c r="G200" s="14" t="n">
        <x:v>20</x:v>
      </x:c>
      <x:c r="H200" s="14" t="n">
        <x:f>IF(F200="","",ROUND(F200/2,0))</x:f>
        <x:v>130</x:v>
      </x:c>
      <x:c r="I200" s="15" t="n">
        <x:v>3.3</x:v>
      </x:c>
      <x:c r="J200" s="15" t="n">
        <x:v>4.25</x:v>
      </x:c>
      <x:c r="K200" s="15" t="n">
        <x:v>3.05</x:v>
      </x:c>
      <x:c r="L200" s="15" t="n">
        <x:v>4.4</x:v>
      </x:c>
      <x:c r="M200" s="17" t="str">
        <x:v>DRAW_4.JPG</x:v>
      </x:c>
    </x:row>
    <x:row r="201" ht="25" customHeight="1">
      <x:c r="A201" s="10" t="str">
        <x:v>YSLY / MYYS / (H)05VV-F / Z-FLEX CLASSIC</x:v>
      </x:c>
      <x:c r="B201" s="11" t="n">
        <x:v>6</x:v>
      </x:c>
      <x:c r="C201" s="25" t="str">
        <x:v>Прогнозовані</x:v>
      </x:c>
      <x:c r="D201" s="26"/>
      <x:c r="E201" s="26"/>
      <x:c r="F201" s="26"/>
      <x:c r="G201" s="14" t="n">
        <x:v>20</x:v>
      </x:c>
      <x:c r="H201" s="14" t="str">
        <x:f>IF(F201="","",ROUND(F201/2,0))</x:f>
      </x:c>
      <x:c r="I201" s="15"/>
      <x:c r="J201" s="15"/>
      <x:c r="K201" s="15"/>
      <x:c r="L201" s="15"/>
      <x:c r="M201" s="17" t="str">
        <x:v>Є практичні значення</x:v>
      </x:c>
    </x:row>
    <x:row r="202" ht="25" customHeight="1">
      <x:c r="A202" s="18" t="str">
        <x:v>H03VV-F / H03VVH2-F / (H)</x:v>
      </x:c>
      <x:c r="B202" s="19" t="n">
        <x:v>0.5</x:v>
      </x:c>
      <x:c r="C202" s="18" t="str">
        <x:v>Довідкові</x:v>
      </x:c>
      <x:c r="D202" s="20" t="n">
        <x:v>87</x:v>
      </x:c>
      <x:c r="E202" s="20" t="n">
        <x:v>175</x:v>
      </x:c>
      <x:c r="F202" s="20" t="n">
        <x:v>550</x:v>
      </x:c>
      <x:c r="G202" s="20" t="n">
        <x:v>20</x:v>
      </x:c>
      <x:c r="H202" s="20" t="n">
        <x:f>IF(F202="","",ROUND(F202/2,0))</x:f>
        <x:v>275</x:v>
      </x:c>
      <x:c r="I202" s="21"/>
      <x:c r="J202" s="21" t="n">
        <x:v>1.9</x:v>
      </x:c>
      <x:c r="K202" s="21"/>
      <x:c r="L202" s="21"/>
      <x:c r="M202" s="22" t="str">
        <x:v>IMG_3854.JPG</x:v>
      </x:c>
    </x:row>
    <x:row r="203" ht="25" customHeight="1">
      <x:c r="A203" s="10" t="str">
        <x:v>H03VV-F / H03VVH2-F / (H)</x:v>
      </x:c>
      <x:c r="B203" s="11" t="n">
        <x:v>0.5</x:v>
      </x:c>
      <x:c r="C203" s="23" t="str">
        <x:v>Практичні</x:v>
      </x:c>
      <x:c r="D203" s="24"/>
      <x:c r="E203" s="24"/>
      <x:c r="F203" s="24"/>
      <x:c r="G203" s="14" t="n">
        <x:v>20</x:v>
      </x:c>
      <x:c r="H203" s="14" t="str">
        <x:f>IF(F203="","",ROUND(F203/2,0))</x:f>
      </x:c>
      <x:c r="I203" s="15"/>
      <x:c r="J203" s="15"/>
      <x:c r="K203" s="15"/>
      <x:c r="L203" s="15"/>
      <x:c r="M203" s="17" t="str">
        <x:v>Ще немає заміру</x:v>
      </x:c>
    </x:row>
    <x:row r="204" ht="25" customHeight="1">
      <x:c r="A204" s="10" t="str">
        <x:v>H03VV-F / H03VVH2-F / (H)</x:v>
      </x:c>
      <x:c r="B204" s="11" t="n">
        <x:v>0.5</x:v>
      </x:c>
      <x:c r="C204" s="25" t="str">
        <x:v>Прогнозовані</x:v>
      </x:c>
      <x:c r="D204" s="26"/>
      <x:c r="E204" s="26"/>
      <x:c r="F204" s="26"/>
      <x:c r="G204" s="14" t="n">
        <x:v>20</x:v>
      </x:c>
      <x:c r="H204" s="14" t="str">
        <x:f>IF(F204="","",ROUND(F204/2,0))</x:f>
      </x:c>
      <x:c r="I204" s="15"/>
      <x:c r="J204" s="15"/>
      <x:c r="K204" s="15"/>
      <x:c r="L204" s="15" t="n">
        <x:v>2.05</x:v>
      </x:c>
      <x:c r="M204" s="17" t="str">
        <x:v>Матриця + 0,15</x:v>
      </x:c>
    </x:row>
    <x:row r="205" ht="25" customHeight="1">
      <x:c r="A205" s="18" t="str">
        <x:v>H03VV-F / H03VVH2-F / (H)</x:v>
      </x:c>
      <x:c r="B205" s="19" t="n">
        <x:v>0.75</x:v>
      </x:c>
      <x:c r="C205" s="18" t="str">
        <x:v>Довідкові</x:v>
      </x:c>
      <x:c r="D205" s="20" t="n">
        <x:v>92</x:v>
      </x:c>
      <x:c r="E205" s="20" t="n">
        <x:v>183</x:v>
      </x:c>
      <x:c r="F205" s="20" t="n">
        <x:v>500</x:v>
      </x:c>
      <x:c r="G205" s="20" t="n">
        <x:v>20</x:v>
      </x:c>
      <x:c r="H205" s="20" t="n">
        <x:f>IF(F205="","",ROUND(F205/2,0))</x:f>
        <x:v>250</x:v>
      </x:c>
      <x:c r="I205" s="21" t="n">
        <x:v>1.4</x:v>
      </x:c>
      <x:c r="J205" s="21" t="n">
        <x:v>2.1</x:v>
      </x:c>
      <x:c r="K205" s="21"/>
      <x:c r="L205" s="21"/>
      <x:c r="M205" s="22" t="str">
        <x:v>IMG_3854.JPG</x:v>
      </x:c>
    </x:row>
    <x:row r="206" ht="25" customHeight="1">
      <x:c r="A206" s="10" t="str">
        <x:v>H03VV-F / H03VVH2-F / (H)</x:v>
      </x:c>
      <x:c r="B206" s="11" t="n">
        <x:v>0.75</x:v>
      </x:c>
      <x:c r="C206" s="23" t="str">
        <x:v>Практичні</x:v>
      </x:c>
      <x:c r="D206" s="24"/>
      <x:c r="E206" s="24"/>
      <x:c r="F206" s="24"/>
      <x:c r="G206" s="14" t="n">
        <x:v>20</x:v>
      </x:c>
      <x:c r="H206" s="14" t="str">
        <x:f>IF(F206="","",ROUND(F206/2,0))</x:f>
      </x:c>
      <x:c r="I206" s="15" t="n">
        <x:v>1.25</x:v>
      </x:c>
      <x:c r="J206" s="15"/>
      <x:c r="K206" s="15"/>
      <x:c r="L206" s="15"/>
      <x:c r="M206" s="17" t="str">
        <x:v>IMG_3854.JPG</x:v>
      </x:c>
    </x:row>
    <x:row r="207" ht="25" customHeight="1">
      <x:c r="A207" s="10" t="str">
        <x:v>H03VV-F / H03VVH2-F / (H)</x:v>
      </x:c>
      <x:c r="B207" s="11" t="n">
        <x:v>0.75</x:v>
      </x:c>
      <x:c r="C207" s="25" t="str">
        <x:v>Прогнозовані</x:v>
      </x:c>
      <x:c r="D207" s="26"/>
      <x:c r="E207" s="26"/>
      <x:c r="F207" s="26"/>
      <x:c r="G207" s="14" t="n">
        <x:v>20</x:v>
      </x:c>
      <x:c r="H207" s="14" t="str">
        <x:f>IF(F207="","",ROUND(F207/2,0))</x:f>
      </x:c>
      <x:c r="I207" s="15"/>
      <x:c r="J207" s="15"/>
      <x:c r="K207" s="15"/>
      <x:c r="L207" s="15" t="n">
        <x:v>2.25</x:v>
      </x:c>
      <x:c r="M207" s="17" t="str">
        <x:v>Матриця + 0,15</x:v>
      </x:c>
    </x:row>
    <x:row r="208" ht="25" customHeight="1">
      <x:c r="A208" s="18" t="str">
        <x:v>H03VV-F / H03VVH2-F / (H)</x:v>
      </x:c>
      <x:c r="B208" s="19" t="n">
        <x:v>1</x:v>
      </x:c>
      <x:c r="C208" s="18" t="str">
        <x:v>Довідкові</x:v>
      </x:c>
      <x:c r="D208" s="20" t="n">
        <x:v>88</x:v>
      </x:c>
      <x:c r="E208" s="20" t="n">
        <x:v>176</x:v>
      </x:c>
      <x:c r="F208" s="20" t="n">
        <x:v>450</x:v>
      </x:c>
      <x:c r="G208" s="20" t="n">
        <x:v>20</x:v>
      </x:c>
      <x:c r="H208" s="20" t="n">
        <x:f>IF(F208="","",ROUND(F208/2,0))</x:f>
        <x:v>225</x:v>
      </x:c>
      <x:c r="I208" s="21"/>
      <x:c r="J208" s="21" t="n">
        <x:v>2.4</x:v>
      </x:c>
      <x:c r="K208" s="21"/>
      <x:c r="L208" s="21"/>
      <x:c r="M208" s="22" t="str">
        <x:v>IMG_3854.JPG</x:v>
      </x:c>
    </x:row>
    <x:row r="209" ht="25" customHeight="1">
      <x:c r="A209" s="10" t="str">
        <x:v>H03VV-F / H03VVH2-F / (H)</x:v>
      </x:c>
      <x:c r="B209" s="11" t="n">
        <x:v>1</x:v>
      </x:c>
      <x:c r="C209" s="23" t="str">
        <x:v>Практичні</x:v>
      </x:c>
      <x:c r="D209" s="24"/>
      <x:c r="E209" s="24"/>
      <x:c r="F209" s="24"/>
      <x:c r="G209" s="14" t="n">
        <x:v>20</x:v>
      </x:c>
      <x:c r="H209" s="14" t="str">
        <x:f>IF(F209="","",ROUND(F209/2,0))</x:f>
      </x:c>
      <x:c r="I209" s="15"/>
      <x:c r="J209" s="15"/>
      <x:c r="K209" s="15"/>
      <x:c r="L209" s="15"/>
      <x:c r="M209" s="17" t="str">
        <x:v>Ще немає заміру</x:v>
      </x:c>
    </x:row>
    <x:row r="210" ht="25" customHeight="1">
      <x:c r="A210" s="10" t="str">
        <x:v>H03VV-F / H03VVH2-F / (H)</x:v>
      </x:c>
      <x:c r="B210" s="11" t="n">
        <x:v>1</x:v>
      </x:c>
      <x:c r="C210" s="25" t="str">
        <x:v>Прогнозовані</x:v>
      </x:c>
      <x:c r="D210" s="26"/>
      <x:c r="E210" s="26"/>
      <x:c r="F210" s="26"/>
      <x:c r="G210" s="14" t="n">
        <x:v>20</x:v>
      </x:c>
      <x:c r="H210" s="14" t="str">
        <x:f>IF(F210="","",ROUND(F210/2,0))</x:f>
      </x:c>
      <x:c r="I210" s="15"/>
      <x:c r="J210" s="15"/>
      <x:c r="K210" s="15"/>
      <x:c r="L210" s="15" t="n">
        <x:v>2.55</x:v>
      </x:c>
      <x:c r="M210" s="17" t="str">
        <x:v>Матриця + 0,15</x:v>
      </x:c>
    </x:row>
    <x:row r="211" ht="25" customHeight="1">
      <x:c r="A211" s="18" t="str">
        <x:v>H03VV-F / H03VVH2-F / (H)</x:v>
      </x:c>
      <x:c r="B211" s="19" t="n">
        <x:v>1.5</x:v>
      </x:c>
      <x:c r="C211" s="18" t="str">
        <x:v>Довідкові</x:v>
      </x:c>
      <x:c r="D211" s="20" t="n">
        <x:v>100</x:v>
      </x:c>
      <x:c r="E211" s="20" t="n">
        <x:v>200</x:v>
      </x:c>
      <x:c r="F211" s="20" t="n">
        <x:v>350</x:v>
      </x:c>
      <x:c r="G211" s="20" t="n">
        <x:v>20</x:v>
      </x:c>
      <x:c r="H211" s="20" t="n">
        <x:f>IF(F211="","",ROUND(F211/2,0))</x:f>
        <x:v>175</x:v>
      </x:c>
      <x:c r="I211" s="21" t="n">
        <x:v>1.8</x:v>
      </x:c>
      <x:c r="J211" s="21" t="n">
        <x:v>2.9</x:v>
      </x:c>
      <x:c r="K211" s="21"/>
      <x:c r="L211" s="21"/>
      <x:c r="M211" s="22" t="str">
        <x:v>IMG_3854.JPG</x:v>
      </x:c>
    </x:row>
    <x:row r="212" ht="25" customHeight="1">
      <x:c r="A212" s="10" t="str">
        <x:v>H03VV-F / H03VVH2-F / (H)</x:v>
      </x:c>
      <x:c r="B212" s="11" t="n">
        <x:v>1.5</x:v>
      </x:c>
      <x:c r="C212" s="23" t="str">
        <x:v>Практичні</x:v>
      </x:c>
      <x:c r="D212" s="24"/>
      <x:c r="E212" s="24"/>
      <x:c r="F212" s="24"/>
      <x:c r="G212" s="14" t="n">
        <x:v>20</x:v>
      </x:c>
      <x:c r="H212" s="14" t="str">
        <x:f>IF(F212="","",ROUND(F212/2,0))</x:f>
      </x:c>
      <x:c r="I212" s="15"/>
      <x:c r="J212" s="15"/>
      <x:c r="K212" s="15"/>
      <x:c r="L212" s="15"/>
      <x:c r="M212" s="17" t="str">
        <x:v>Ще немає заміру</x:v>
      </x:c>
    </x:row>
    <x:row r="213" ht="25" customHeight="1">
      <x:c r="A213" s="10" t="str">
        <x:v>H03VV-F / H03VVH2-F / (H)</x:v>
      </x:c>
      <x:c r="B213" s="11" t="n">
        <x:v>1.5</x:v>
      </x:c>
      <x:c r="C213" s="25" t="str">
        <x:v>Прогнозовані</x:v>
      </x:c>
      <x:c r="D213" s="26"/>
      <x:c r="E213" s="26"/>
      <x:c r="F213" s="26"/>
      <x:c r="G213" s="14" t="n">
        <x:v>20</x:v>
      </x:c>
      <x:c r="H213" s="14" t="str">
        <x:f>IF(F213="","",ROUND(F213/2,0))</x:f>
      </x:c>
      <x:c r="I213" s="15"/>
      <x:c r="J213" s="15"/>
      <x:c r="K213" s="15"/>
      <x:c r="L213" s="15" t="n">
        <x:v>3.05</x:v>
      </x:c>
      <x:c r="M213" s="17" t="str">
        <x:v>Матриця + 0,15</x:v>
      </x:c>
    </x:row>
    <x:row r="214" ht="25" customHeight="1">
      <x:c r="A214" s="18" t="str">
        <x:v>H03VV-F / H03VVH2-F / (H)</x:v>
      </x:c>
      <x:c r="B214" s="19" t="n">
        <x:v>2.5</x:v>
      </x:c>
      <x:c r="C214" s="18" t="str">
        <x:v>Довідкові</x:v>
      </x:c>
      <x:c r="D214" s="20" t="n">
        <x:v>106</x:v>
      </x:c>
      <x:c r="E214" s="20" t="n">
        <x:v>212</x:v>
      </x:c>
      <x:c r="F214" s="20" t="n">
        <x:v>250</x:v>
      </x:c>
      <x:c r="G214" s="20" t="n">
        <x:v>20</x:v>
      </x:c>
      <x:c r="H214" s="20" t="n">
        <x:f>IF(F214="","",ROUND(F214/2,0))</x:f>
        <x:v>125</x:v>
      </x:c>
      <x:c r="I214" s="21" t="n">
        <x:v>2.3</x:v>
      </x:c>
      <x:c r="J214" s="21" t="n">
        <x:v>3.6</x:v>
      </x:c>
      <x:c r="K214" s="21"/>
      <x:c r="L214" s="21"/>
      <x:c r="M214" s="22" t="str">
        <x:v>IMG_3854.JPG</x:v>
      </x:c>
    </x:row>
    <x:row r="215" ht="25" customHeight="1">
      <x:c r="A215" s="10" t="str">
        <x:v>H03VV-F / H03VVH2-F / (H)</x:v>
      </x:c>
      <x:c r="B215" s="11" t="n">
        <x:v>2.5</x:v>
      </x:c>
      <x:c r="C215" s="23" t="str">
        <x:v>Практичні</x:v>
      </x:c>
      <x:c r="D215" s="24"/>
      <x:c r="E215" s="24"/>
      <x:c r="F215" s="24"/>
      <x:c r="G215" s="14" t="n">
        <x:v>20</x:v>
      </x:c>
      <x:c r="H215" s="14" t="str">
        <x:f>IF(F215="","",ROUND(F215/2,0))</x:f>
      </x:c>
      <x:c r="I215" s="15"/>
      <x:c r="J215" s="15"/>
      <x:c r="K215" s="15"/>
      <x:c r="L215" s="15"/>
      <x:c r="M215" s="17" t="str">
        <x:v>Ще немає заміру</x:v>
      </x:c>
    </x:row>
    <x:row r="216" ht="25" customHeight="1">
      <x:c r="A216" s="10" t="str">
        <x:v>H03VV-F / H03VVH2-F / (H)</x:v>
      </x:c>
      <x:c r="B216" s="11" t="n">
        <x:v>2.5</x:v>
      </x:c>
      <x:c r="C216" s="25" t="str">
        <x:v>Прогнозовані</x:v>
      </x:c>
      <x:c r="D216" s="26"/>
      <x:c r="E216" s="26"/>
      <x:c r="F216" s="26"/>
      <x:c r="G216" s="14" t="n">
        <x:v>20</x:v>
      </x:c>
      <x:c r="H216" s="14" t="str">
        <x:f>IF(F216="","",ROUND(F216/2,0))</x:f>
      </x:c>
      <x:c r="I216" s="15"/>
      <x:c r="J216" s="15"/>
      <x:c r="K216" s="15"/>
      <x:c r="L216" s="15" t="n">
        <x:v>3.75</x:v>
      </x:c>
      <x:c r="M216" s="17" t="str">
        <x:v>Матриця + 0,15</x:v>
      </x:c>
    </x:row>
    <x:row r="217" ht="25" customHeight="1">
      <x:c r="A217" s="18" t="str">
        <x:v>H05VV-F / H05VVH2-F / (H)</x:v>
      </x:c>
      <x:c r="B217" s="19" t="n">
        <x:v>0.75</x:v>
      </x:c>
      <x:c r="C217" s="18" t="str">
        <x:v>Довідкові</x:v>
      </x:c>
      <x:c r="D217" s="20" t="n">
        <x:v>92</x:v>
      </x:c>
      <x:c r="E217" s="20" t="n">
        <x:v>183</x:v>
      </x:c>
      <x:c r="F217" s="20" t="n">
        <x:v>500</x:v>
      </x:c>
      <x:c r="G217" s="20" t="n">
        <x:v>20</x:v>
      </x:c>
      <x:c r="H217" s="20" t="n">
        <x:f>IF(F217="","",ROUND(F217/2,0))</x:f>
        <x:v>250</x:v>
      </x:c>
      <x:c r="I217" s="21" t="n">
        <x:v>1.4</x:v>
      </x:c>
      <x:c r="J217" s="21" t="n">
        <x:v>2.3</x:v>
      </x:c>
      <x:c r="K217" s="21"/>
      <x:c r="L217" s="21"/>
      <x:c r="M217" s="22" t="str">
        <x:v>IMG_3854.JPG</x:v>
      </x:c>
    </x:row>
    <x:row r="218" ht="25" customHeight="1">
      <x:c r="A218" s="10" t="str">
        <x:v>H05VV-F / H05VVH2-F / (H)</x:v>
      </x:c>
      <x:c r="B218" s="11" t="n">
        <x:v>0.75</x:v>
      </x:c>
      <x:c r="C218" s="23" t="str">
        <x:v>Практичні</x:v>
      </x:c>
      <x:c r="D218" s="24"/>
      <x:c r="E218" s="24"/>
      <x:c r="F218" s="24"/>
      <x:c r="G218" s="14" t="n">
        <x:v>20</x:v>
      </x:c>
      <x:c r="H218" s="14" t="str">
        <x:f>IF(F218="","",ROUND(F218/2,0))</x:f>
      </x:c>
      <x:c r="I218" s="15"/>
      <x:c r="J218" s="15"/>
      <x:c r="K218" s="15"/>
      <x:c r="L218" s="15"/>
      <x:c r="M218" s="17" t="str">
        <x:v>Ще немає заміру</x:v>
      </x:c>
    </x:row>
    <x:row r="219" ht="25" customHeight="1">
      <x:c r="A219" s="10" t="str">
        <x:v>H05VV-F / H05VVH2-F / (H)</x:v>
      </x:c>
      <x:c r="B219" s="11" t="n">
        <x:v>0.75</x:v>
      </x:c>
      <x:c r="C219" s="25" t="str">
        <x:v>Прогнозовані</x:v>
      </x:c>
      <x:c r="D219" s="26"/>
      <x:c r="E219" s="26"/>
      <x:c r="F219" s="26"/>
      <x:c r="G219" s="14" t="n">
        <x:v>20</x:v>
      </x:c>
      <x:c r="H219" s="14" t="str">
        <x:f>IF(F219="","",ROUND(F219/2,0))</x:f>
      </x:c>
      <x:c r="I219" s="15"/>
      <x:c r="J219" s="15"/>
      <x:c r="K219" s="15"/>
      <x:c r="L219" s="15" t="n">
        <x:v>2.45</x:v>
      </x:c>
      <x:c r="M219" s="17" t="str">
        <x:v>Матриця + 0,15</x:v>
      </x:c>
    </x:row>
    <x:row r="220" ht="25" customHeight="1">
      <x:c r="A220" s="18" t="str">
        <x:v>H05VV-F / H05VVH2-F / (H)</x:v>
      </x:c>
      <x:c r="B220" s="19" t="n">
        <x:v>1</x:v>
      </x:c>
      <x:c r="C220" s="18" t="str">
        <x:v>Довідкові</x:v>
      </x:c>
      <x:c r="D220" s="20" t="n">
        <x:v>88</x:v>
      </x:c>
      <x:c r="E220" s="20" t="n">
        <x:v>176</x:v>
      </x:c>
      <x:c r="F220" s="20" t="n">
        <x:v>450</x:v>
      </x:c>
      <x:c r="G220" s="20" t="n">
        <x:v>20</x:v>
      </x:c>
      <x:c r="H220" s="20" t="n">
        <x:f>IF(F220="","",ROUND(F220/2,0))</x:f>
        <x:v>225</x:v>
      </x:c>
      <x:c r="I220" s="21" t="n">
        <x:v>1.45</x:v>
      </x:c>
      <x:c r="J220" s="21" t="n">
        <x:v>2.4</x:v>
      </x:c>
      <x:c r="K220" s="21"/>
      <x:c r="L220" s="21"/>
      <x:c r="M220" s="22" t="str">
        <x:v>IMG_3854.JPG</x:v>
      </x:c>
    </x:row>
    <x:row r="221" ht="25" customHeight="1">
      <x:c r="A221" s="10" t="str">
        <x:v>H05VV-F / H05VVH2-F / (H)</x:v>
      </x:c>
      <x:c r="B221" s="11" t="n">
        <x:v>1</x:v>
      </x:c>
      <x:c r="C221" s="23" t="str">
        <x:v>Практичні</x:v>
      </x:c>
      <x:c r="D221" s="24"/>
      <x:c r="E221" s="24"/>
      <x:c r="F221" s="24"/>
      <x:c r="G221" s="14" t="n">
        <x:v>20</x:v>
      </x:c>
      <x:c r="H221" s="14" t="str">
        <x:f>IF(F221="","",ROUND(F221/2,0))</x:f>
      </x:c>
      <x:c r="I221" s="15"/>
      <x:c r="J221" s="15"/>
      <x:c r="K221" s="15"/>
      <x:c r="L221" s="15"/>
      <x:c r="M221" s="17" t="str">
        <x:v>Ще немає заміру</x:v>
      </x:c>
    </x:row>
    <x:row r="222" ht="25" customHeight="1">
      <x:c r="A222" s="10" t="str">
        <x:v>H05VV-F / H05VVH2-F / (H)</x:v>
      </x:c>
      <x:c r="B222" s="11" t="n">
        <x:v>1</x:v>
      </x:c>
      <x:c r="C222" s="25" t="str">
        <x:v>Прогнозовані</x:v>
      </x:c>
      <x:c r="D222" s="26"/>
      <x:c r="E222" s="26"/>
      <x:c r="F222" s="26"/>
      <x:c r="G222" s="14" t="n">
        <x:v>20</x:v>
      </x:c>
      <x:c r="H222" s="14" t="str">
        <x:f>IF(F222="","",ROUND(F222/2,0))</x:f>
      </x:c>
      <x:c r="I222" s="15"/>
      <x:c r="J222" s="15"/>
      <x:c r="K222" s="15"/>
      <x:c r="L222" s="15" t="n">
        <x:v>2.55</x:v>
      </x:c>
      <x:c r="M222" s="17" t="str">
        <x:v>Матриця + 0,15</x:v>
      </x:c>
    </x:row>
    <x:row r="223" ht="25" customHeight="1">
      <x:c r="A223" s="18" t="str">
        <x:v>H05VV-F / H05VVH2-F / (H)</x:v>
      </x:c>
      <x:c r="B223" s="19" t="n">
        <x:v>1.5</x:v>
      </x:c>
      <x:c r="C223" s="18" t="str">
        <x:v>Довідкові</x:v>
      </x:c>
      <x:c r="D223" s="20" t="n">
        <x:v>100</x:v>
      </x:c>
      <x:c r="E223" s="20" t="n">
        <x:v>200</x:v>
      </x:c>
      <x:c r="F223" s="20" t="n">
        <x:v>350</x:v>
      </x:c>
      <x:c r="G223" s="20" t="n">
        <x:v>20</x:v>
      </x:c>
      <x:c r="H223" s="20" t="n">
        <x:f>IF(F223="","",ROUND(F223/2,0))</x:f>
        <x:v>175</x:v>
      </x:c>
      <x:c r="I223" s="21" t="n">
        <x:v>1.8</x:v>
      </x:c>
      <x:c r="J223" s="21" t="n">
        <x:v>2.9</x:v>
      </x:c>
      <x:c r="K223" s="21"/>
      <x:c r="L223" s="21"/>
      <x:c r="M223" s="22" t="str">
        <x:v>IMG_3854.JPG</x:v>
      </x:c>
    </x:row>
    <x:row r="224" ht="25" customHeight="1">
      <x:c r="A224" s="10" t="str">
        <x:v>H05VV-F / H05VVH2-F / (H)</x:v>
      </x:c>
      <x:c r="B224" s="11" t="n">
        <x:v>1.5</x:v>
      </x:c>
      <x:c r="C224" s="23" t="str">
        <x:v>Практичні</x:v>
      </x:c>
      <x:c r="D224" s="24"/>
      <x:c r="E224" s="24"/>
      <x:c r="F224" s="24"/>
      <x:c r="G224" s="14" t="n">
        <x:v>20</x:v>
      </x:c>
      <x:c r="H224" s="14" t="str">
        <x:f>IF(F224="","",ROUND(F224/2,0))</x:f>
      </x:c>
      <x:c r="I224" s="15"/>
      <x:c r="J224" s="15"/>
      <x:c r="K224" s="15"/>
      <x:c r="L224" s="15"/>
      <x:c r="M224" s="17" t="str">
        <x:v>Ще немає заміру</x:v>
      </x:c>
    </x:row>
    <x:row r="225" ht="25" customHeight="1">
      <x:c r="A225" s="10" t="str">
        <x:v>H05VV-F / H05VVH2-F / (H)</x:v>
      </x:c>
      <x:c r="B225" s="11" t="n">
        <x:v>1.5</x:v>
      </x:c>
      <x:c r="C225" s="25" t="str">
        <x:v>Прогнозовані</x:v>
      </x:c>
      <x:c r="D225" s="26"/>
      <x:c r="E225" s="26"/>
      <x:c r="F225" s="26"/>
      <x:c r="G225" s="14" t="n">
        <x:v>20</x:v>
      </x:c>
      <x:c r="H225" s="14" t="str">
        <x:f>IF(F225="","",ROUND(F225/2,0))</x:f>
      </x:c>
      <x:c r="I225" s="15"/>
      <x:c r="J225" s="15"/>
      <x:c r="K225" s="15"/>
      <x:c r="L225" s="15" t="n">
        <x:v>3.05</x:v>
      </x:c>
      <x:c r="M225" s="17" t="str">
        <x:v>Матриця + 0,15</x:v>
      </x:c>
    </x:row>
    <x:row r="226" ht="25" customHeight="1">
      <x:c r="A226" s="18" t="str">
        <x:v>H05VV-F / H05VVH2-F / (H)</x:v>
      </x:c>
      <x:c r="B226" s="19" t="n">
        <x:v>2.5</x:v>
      </x:c>
      <x:c r="C226" s="18" t="str">
        <x:v>Довідкові</x:v>
      </x:c>
      <x:c r="D226" s="20" t="n">
        <x:v>106</x:v>
      </x:c>
      <x:c r="E226" s="20" t="n">
        <x:v>212</x:v>
      </x:c>
      <x:c r="F226" s="20" t="n">
        <x:v>250</x:v>
      </x:c>
      <x:c r="G226" s="20" t="n">
        <x:v>20</x:v>
      </x:c>
      <x:c r="H226" s="20" t="n">
        <x:f>IF(F226="","",ROUND(F226/2,0))</x:f>
        <x:v>125</x:v>
      </x:c>
      <x:c r="I226" s="21" t="n">
        <x:v>2.3</x:v>
      </x:c>
      <x:c r="J226" s="21" t="n">
        <x:v>3.6</x:v>
      </x:c>
      <x:c r="K226" s="21"/>
      <x:c r="L226" s="21"/>
      <x:c r="M226" s="22" t="str">
        <x:v>IMG_3854.JPG</x:v>
      </x:c>
    </x:row>
    <x:row r="227" ht="25" customHeight="1">
      <x:c r="A227" s="10" t="str">
        <x:v>H05VV-F / H05VVH2-F / (H)</x:v>
      </x:c>
      <x:c r="B227" s="11" t="n">
        <x:v>2.5</x:v>
      </x:c>
      <x:c r="C227" s="23" t="str">
        <x:v>Практичні</x:v>
      </x:c>
      <x:c r="D227" s="24"/>
      <x:c r="E227" s="24"/>
      <x:c r="F227" s="24"/>
      <x:c r="G227" s="14" t="n">
        <x:v>20</x:v>
      </x:c>
      <x:c r="H227" s="14" t="str">
        <x:f>IF(F227="","",ROUND(F227/2,0))</x:f>
      </x:c>
      <x:c r="I227" s="15"/>
      <x:c r="J227" s="15"/>
      <x:c r="K227" s="15"/>
      <x:c r="L227" s="15"/>
      <x:c r="M227" s="17" t="str">
        <x:v>Ще немає заміру</x:v>
      </x:c>
    </x:row>
    <x:row r="228" ht="25" customHeight="1">
      <x:c r="A228" s="10" t="str">
        <x:v>H05VV-F / H05VVH2-F / (H)</x:v>
      </x:c>
      <x:c r="B228" s="11" t="n">
        <x:v>2.5</x:v>
      </x:c>
      <x:c r="C228" s="25" t="str">
        <x:v>Прогнозовані</x:v>
      </x:c>
      <x:c r="D228" s="26"/>
      <x:c r="E228" s="26"/>
      <x:c r="F228" s="26"/>
      <x:c r="G228" s="14" t="n">
        <x:v>20</x:v>
      </x:c>
      <x:c r="H228" s="14" t="str">
        <x:f>IF(F228="","",ROUND(F228/2,0))</x:f>
      </x:c>
      <x:c r="I228" s="15"/>
      <x:c r="J228" s="15"/>
      <x:c r="K228" s="15"/>
      <x:c r="L228" s="15" t="n">
        <x:v>3.75</x:v>
      </x:c>
      <x:c r="M228" s="17" t="str">
        <x:v>Матриця + 0,15</x:v>
      </x:c>
    </x:row>
    <x:row r="229" ht="25" customHeight="1">
      <x:c r="A229" s="18" t="str">
        <x:v>H05VV-F / H05VVH2-F / (H)</x:v>
      </x:c>
      <x:c r="B229" s="19" t="n">
        <x:v>4</x:v>
      </x:c>
      <x:c r="C229" s="18" t="str">
        <x:v>Довідкові</x:v>
      </x:c>
      <x:c r="D229" s="20" t="n">
        <x:v>104</x:v>
      </x:c>
      <x:c r="E229" s="20" t="n">
        <x:v>207</x:v>
      </x:c>
      <x:c r="F229" s="20" t="n">
        <x:v>200</x:v>
      </x:c>
      <x:c r="G229" s="20" t="n">
        <x:v>20</x:v>
      </x:c>
      <x:c r="H229" s="20" t="n">
        <x:f>IF(F229="","",ROUND(F229/2,0))</x:f>
        <x:v>100</x:v>
      </x:c>
      <x:c r="I229" s="21" t="n">
        <x:v>2.8</x:v>
      </x:c>
      <x:c r="J229" s="21" t="n">
        <x:v>4.1</x:v>
      </x:c>
      <x:c r="K229" s="21"/>
      <x:c r="L229" s="21"/>
      <x:c r="M229" s="22" t="str">
        <x:v>IMG_3854.JPG</x:v>
      </x:c>
    </x:row>
    <x:row r="230" ht="25" customHeight="1">
      <x:c r="A230" s="10" t="str">
        <x:v>H05VV-F / H05VVH2-F / (H)</x:v>
      </x:c>
      <x:c r="B230" s="11" t="n">
        <x:v>4</x:v>
      </x:c>
      <x:c r="C230" s="23" t="str">
        <x:v>Практичні</x:v>
      </x:c>
      <x:c r="D230" s="24"/>
      <x:c r="E230" s="24"/>
      <x:c r="F230" s="24"/>
      <x:c r="G230" s="14" t="n">
        <x:v>20</x:v>
      </x:c>
      <x:c r="H230" s="14" t="str">
        <x:f>IF(F230="","",ROUND(F230/2,0))</x:f>
      </x:c>
      <x:c r="I230" s="15"/>
      <x:c r="J230" s="15"/>
      <x:c r="K230" s="15"/>
      <x:c r="L230" s="15"/>
      <x:c r="M230" s="17" t="str">
        <x:v>Ще немає заміру</x:v>
      </x:c>
    </x:row>
    <x:row r="231" ht="25" customHeight="1">
      <x:c r="A231" s="10" t="str">
        <x:v>H05VV-F / H05VVH2-F / (H)</x:v>
      </x:c>
      <x:c r="B231" s="11" t="n">
        <x:v>4</x:v>
      </x:c>
      <x:c r="C231" s="25" t="str">
        <x:v>Прогнозовані</x:v>
      </x:c>
      <x:c r="D231" s="26"/>
      <x:c r="E231" s="26"/>
      <x:c r="F231" s="26"/>
      <x:c r="G231" s="14" t="n">
        <x:v>20</x:v>
      </x:c>
      <x:c r="H231" s="14" t="str">
        <x:f>IF(F231="","",ROUND(F231/2,0))</x:f>
      </x:c>
      <x:c r="I231" s="15"/>
      <x:c r="J231" s="15"/>
      <x:c r="K231" s="15"/>
      <x:c r="L231" s="15" t="n">
        <x:v>4.25</x:v>
      </x:c>
      <x:c r="M231" s="17" t="str">
        <x:v>Матриця + 0,15</x:v>
      </x:c>
    </x:row>
    <x:row r="232" ht="25" customHeight="1">
      <x:c r="A232" s="18" t="str">
        <x:v>H05VV-F / H05VVH2-F / (H)</x:v>
      </x:c>
      <x:c r="B232" s="19" t="n">
        <x:v>6</x:v>
      </x:c>
      <x:c r="C232" s="18" t="str">
        <x:v>Довідкові</x:v>
      </x:c>
      <x:c r="D232" s="20" t="n">
        <x:v>116</x:v>
      </x:c>
      <x:c r="E232" s="20" t="n">
        <x:v>232</x:v>
      </x:c>
      <x:c r="F232" s="20" t="n">
        <x:v>180</x:v>
      </x:c>
      <x:c r="G232" s="20" t="n">
        <x:v>20</x:v>
      </x:c>
      <x:c r="H232" s="20" t="n">
        <x:f>IF(F232="","",ROUND(F232/2,0))</x:f>
        <x:v>90</x:v>
      </x:c>
      <x:c r="I232" s="21" t="n">
        <x:v>3.3</x:v>
      </x:c>
      <x:c r="J232" s="21"/>
      <x:c r="K232" s="21"/>
      <x:c r="L232" s="21"/>
      <x:c r="M232" s="22" t="str">
        <x:v>IMG_3854.JPG</x:v>
      </x:c>
    </x:row>
    <x:row r="233" ht="25" customHeight="1">
      <x:c r="A233" s="10" t="str">
        <x:v>H05VV-F / H05VVH2-F / (H)</x:v>
      </x:c>
      <x:c r="B233" s="11" t="n">
        <x:v>6</x:v>
      </x:c>
      <x:c r="C233" s="23" t="str">
        <x:v>Практичні</x:v>
      </x:c>
      <x:c r="D233" s="24"/>
      <x:c r="E233" s="24"/>
      <x:c r="F233" s="24"/>
      <x:c r="G233" s="14" t="n">
        <x:v>20</x:v>
      </x:c>
      <x:c r="H233" s="14" t="str">
        <x:f>IF(F233="","",ROUND(F233/2,0))</x:f>
      </x:c>
      <x:c r="I233" s="15"/>
      <x:c r="J233" s="15"/>
      <x:c r="K233" s="15"/>
      <x:c r="L233" s="15"/>
      <x:c r="M233" s="17" t="str">
        <x:v>Ще немає заміру</x:v>
      </x:c>
    </x:row>
    <x:row r="234" ht="25" customHeight="1">
      <x:c r="A234" s="10" t="str">
        <x:v>H05VV-F / H05VVH2-F / (H)</x:v>
      </x:c>
      <x:c r="B234" s="11" t="n">
        <x:v>6</x:v>
      </x:c>
      <x:c r="C234" s="25" t="str">
        <x:v>Прогнозовані</x:v>
      </x:c>
      <x:c r="D234" s="26"/>
      <x:c r="E234" s="26"/>
      <x:c r="F234" s="26"/>
      <x:c r="G234" s="14" t="n">
        <x:v>20</x:v>
      </x:c>
      <x:c r="H234" s="14" t="str">
        <x:f>IF(F234="","",ROUND(F234/2,0))</x:f>
      </x:c>
      <x:c r="I234" s="15"/>
      <x:c r="J234" s="15"/>
      <x:c r="K234" s="15"/>
      <x:c r="L234" s="15"/>
      <x:c r="M234" s="17" t="str">
        <x:v>Недостатньо даних</x:v>
      </x:c>
    </x:row>
    <x:row r="235" ht="25" customHeight="1">
      <x:c r="A235" s="18" t="str">
        <x:v>CYKYL-U · 0,3/0,5 кВ</x:v>
      </x:c>
      <x:c r="B235" s="19" t="n">
        <x:v>1.5</x:v>
      </x:c>
      <x:c r="C235" s="18" t="str">
        <x:v>Довідкові</x:v>
      </x:c>
      <x:c r="D235" s="20"/>
      <x:c r="E235" s="20"/>
      <x:c r="F235" s="20" t="n">
        <x:v>500</x:v>
      </x:c>
      <x:c r="G235" s="20" t="n">
        <x:v>20</x:v>
      </x:c>
      <x:c r="H235" s="20" t="n">
        <x:f>IF(F235="","",ROUND(F235/2,0))</x:f>
        <x:v>250</x:v>
      </x:c>
      <x:c r="I235" s="21" t="n">
        <x:v>1.5</x:v>
      </x:c>
      <x:c r="J235" s="21" t="n">
        <x:v>2.5</x:v>
      </x:c>
      <x:c r="K235" s="21"/>
      <x:c r="L235" s="21"/>
      <x:c r="M235" s="22" t="str">
        <x:v>IMG_3855.JPG</x:v>
      </x:c>
    </x:row>
    <x:row r="236" ht="25" customHeight="1">
      <x:c r="A236" s="10" t="str">
        <x:v>CYKYL-U · 0,3/0,5 кВ</x:v>
      </x:c>
      <x:c r="B236" s="11" t="n">
        <x:v>1.5</x:v>
      </x:c>
      <x:c r="C236" s="23" t="str">
        <x:v>Практичні</x:v>
      </x:c>
      <x:c r="D236" s="24"/>
      <x:c r="E236" s="24"/>
      <x:c r="F236" s="24"/>
      <x:c r="G236" s="14" t="n">
        <x:v>20</x:v>
      </x:c>
      <x:c r="H236" s="14" t="str">
        <x:f>IF(F236="","",ROUND(F236/2,0))</x:f>
      </x:c>
      <x:c r="I236" s="15"/>
      <x:c r="J236" s="15"/>
      <x:c r="K236" s="15"/>
      <x:c r="L236" s="15"/>
      <x:c r="M236" s="17" t="str">
        <x:v>Ще немає заміру</x:v>
      </x:c>
    </x:row>
    <x:row r="237" ht="25" customHeight="1">
      <x:c r="A237" s="10" t="str">
        <x:v>CYKYL-U · 0,3/0,5 кВ</x:v>
      </x:c>
      <x:c r="B237" s="11" t="n">
        <x:v>1.5</x:v>
      </x:c>
      <x:c r="C237" s="25" t="str">
        <x:v>Прогнозовані</x:v>
      </x:c>
      <x:c r="D237" s="26"/>
      <x:c r="E237" s="26"/>
      <x:c r="F237" s="26"/>
      <x:c r="G237" s="14" t="n">
        <x:v>20</x:v>
      </x:c>
      <x:c r="H237" s="14" t="str">
        <x:f>IF(F237="","",ROUND(F237/2,0))</x:f>
      </x:c>
      <x:c r="I237" s="15"/>
      <x:c r="J237" s="15"/>
      <x:c r="K237" s="15"/>
      <x:c r="L237" s="15" t="n">
        <x:v>2.65</x:v>
      </x:c>
      <x:c r="M237" s="17" t="str">
        <x:v>Матриця + 0,15</x:v>
      </x:c>
    </x:row>
    <x:row r="238" ht="25" customHeight="1">
      <x:c r="A238" s="18" t="str">
        <x:v>CYKYL-U · 0,3/0,5 кВ</x:v>
      </x:c>
      <x:c r="B238" s="19" t="n">
        <x:v>2.5</x:v>
      </x:c>
      <x:c r="C238" s="18" t="str">
        <x:v>Довідкові</x:v>
      </x:c>
      <x:c r="D238" s="20"/>
      <x:c r="E238" s="20"/>
      <x:c r="F238" s="20"/>
      <x:c r="G238" s="20" t="n">
        <x:v>20</x:v>
      </x:c>
      <x:c r="H238" s="20" t="str">
        <x:f>IF(F238="","",ROUND(F238/2,0))</x:f>
      </x:c>
      <x:c r="I238" s="21" t="n">
        <x:v>1.8</x:v>
      </x:c>
      <x:c r="J238" s="21" t="n">
        <x:v>3.1</x:v>
      </x:c>
      <x:c r="K238" s="21"/>
      <x:c r="L238" s="21"/>
      <x:c r="M238" s="22" t="str">
        <x:v>IMG_3855.JPG</x:v>
      </x:c>
    </x:row>
    <x:row r="239" ht="25" customHeight="1">
      <x:c r="A239" s="10" t="str">
        <x:v>CYKYL-U · 0,3/0,5 кВ</x:v>
      </x:c>
      <x:c r="B239" s="11" t="n">
        <x:v>2.5</x:v>
      </x:c>
      <x:c r="C239" s="23" t="str">
        <x:v>Практичні</x:v>
      </x:c>
      <x:c r="D239" s="24"/>
      <x:c r="E239" s="24"/>
      <x:c r="F239" s="24"/>
      <x:c r="G239" s="14" t="n">
        <x:v>20</x:v>
      </x:c>
      <x:c r="H239" s="14" t="str">
        <x:f>IF(F239="","",ROUND(F239/2,0))</x:f>
      </x:c>
      <x:c r="I239" s="15"/>
      <x:c r="J239" s="15"/>
      <x:c r="K239" s="15"/>
      <x:c r="L239" s="15"/>
      <x:c r="M239" s="17" t="str">
        <x:v>Ще немає заміру</x:v>
      </x:c>
    </x:row>
    <x:row r="240" ht="25" customHeight="1">
      <x:c r="A240" s="10" t="str">
        <x:v>CYKYL-U · 0,3/0,5 кВ</x:v>
      </x:c>
      <x:c r="B240" s="11" t="n">
        <x:v>2.5</x:v>
      </x:c>
      <x:c r="C240" s="25" t="str">
        <x:v>Прогнозовані</x:v>
      </x:c>
      <x:c r="D240" s="26"/>
      <x:c r="E240" s="26"/>
      <x:c r="F240" s="26"/>
      <x:c r="G240" s="14" t="n">
        <x:v>20</x:v>
      </x:c>
      <x:c r="H240" s="14" t="str">
        <x:f>IF(F240="","",ROUND(F240/2,0))</x:f>
      </x:c>
      <x:c r="I240" s="15"/>
      <x:c r="J240" s="15"/>
      <x:c r="K240" s="15"/>
      <x:c r="L240" s="15" t="n">
        <x:v>3.25</x:v>
      </x:c>
      <x:c r="M240" s="17" t="str">
        <x:v>Матриця + 0,15</x:v>
      </x:c>
    </x:row>
    <x:row r="241" ht="25" customHeight="1">
      <x:c r="A241" s="18" t="str">
        <x:v>CYKYL-U · 0,3/0,5 кВ</x:v>
      </x:c>
      <x:c r="B241" s="19" t="n">
        <x:v>4</x:v>
      </x:c>
      <x:c r="C241" s="18" t="str">
        <x:v>Довідкові</x:v>
      </x:c>
      <x:c r="D241" s="20"/>
      <x:c r="E241" s="20"/>
      <x:c r="F241" s="20" t="n">
        <x:v>160</x:v>
      </x:c>
      <x:c r="G241" s="20" t="n">
        <x:v>20</x:v>
      </x:c>
      <x:c r="H241" s="20" t="n">
        <x:f>IF(F241="","",ROUND(F241/2,0))</x:f>
        <x:v>80</x:v>
      </x:c>
      <x:c r="I241" s="21" t="n">
        <x:v>2.3</x:v>
      </x:c>
      <x:c r="J241" s="21" t="n">
        <x:v>3.6</x:v>
      </x:c>
      <x:c r="K241" s="21"/>
      <x:c r="L241" s="21"/>
      <x:c r="M241" s="22" t="str">
        <x:v>IMG_3855.JPG</x:v>
      </x:c>
    </x:row>
    <x:row r="242" ht="25" customHeight="1">
      <x:c r="A242" s="10" t="str">
        <x:v>CYKYL-U · 0,3/0,5 кВ</x:v>
      </x:c>
      <x:c r="B242" s="11" t="n">
        <x:v>4</x:v>
      </x:c>
      <x:c r="C242" s="23" t="str">
        <x:v>Практичні</x:v>
      </x:c>
      <x:c r="D242" s="24"/>
      <x:c r="E242" s="24"/>
      <x:c r="F242" s="24"/>
      <x:c r="G242" s="14" t="n">
        <x:v>20</x:v>
      </x:c>
      <x:c r="H242" s="14" t="str">
        <x:f>IF(F242="","",ROUND(F242/2,0))</x:f>
      </x:c>
      <x:c r="I242" s="15"/>
      <x:c r="J242" s="15"/>
      <x:c r="K242" s="15"/>
      <x:c r="L242" s="15"/>
      <x:c r="M242" s="17" t="str">
        <x:v>Ще немає заміру</x:v>
      </x:c>
    </x:row>
    <x:row r="243" ht="25" customHeight="1">
      <x:c r="A243" s="10" t="str">
        <x:v>CYKYL-U · 0,3/0,5 кВ</x:v>
      </x:c>
      <x:c r="B243" s="11" t="n">
        <x:v>4</x:v>
      </x:c>
      <x:c r="C243" s="25" t="str">
        <x:v>Прогнозовані</x:v>
      </x:c>
      <x:c r="D243" s="26"/>
      <x:c r="E243" s="26"/>
      <x:c r="F243" s="26"/>
      <x:c r="G243" s="14" t="n">
        <x:v>20</x:v>
      </x:c>
      <x:c r="H243" s="14" t="str">
        <x:f>IF(F243="","",ROUND(F243/2,0))</x:f>
      </x:c>
      <x:c r="I243" s="15"/>
      <x:c r="J243" s="15"/>
      <x:c r="K243" s="15"/>
      <x:c r="L243" s="15" t="n">
        <x:v>3.75</x:v>
      </x:c>
      <x:c r="M243" s="17" t="str">
        <x:v>Матриця + 0,15</x:v>
      </x:c>
    </x:row>
    <x:row r="244" ht="25" customHeight="1">
      <x:c r="A244" s="18" t="str">
        <x:v>CYKYL-F · карта геометрії</x:v>
      </x:c>
      <x:c r="B244" s="19" t="n">
        <x:v>0.75</x:v>
      </x:c>
      <x:c r="C244" s="18" t="str">
        <x:v>Довідкові</x:v>
      </x:c>
      <x:c r="D244" s="20"/>
      <x:c r="E244" s="20"/>
      <x:c r="F244" s="20" t="n">
        <x:v>400</x:v>
      </x:c>
      <x:c r="G244" s="20" t="n">
        <x:v>20</x:v>
      </x:c>
      <x:c r="H244" s="20" t="n">
        <x:f>IF(F244="","",ROUND(F244/2,0))</x:f>
        <x:v>200</x:v>
      </x:c>
      <x:c r="I244" s="21" t="n">
        <x:v>1.2</x:v>
      </x:c>
      <x:c r="J244" s="21" t="n">
        <x:v>2.3</x:v>
      </x:c>
      <x:c r="K244" s="21"/>
      <x:c r="L244" s="21"/>
      <x:c r="M244" s="22" t="str">
        <x:v>IMG_3855.JPG</x:v>
      </x:c>
    </x:row>
    <x:row r="245" ht="25" customHeight="1">
      <x:c r="A245" s="10" t="str">
        <x:v>CYKYL-F · карта геометрії</x:v>
      </x:c>
      <x:c r="B245" s="11" t="n">
        <x:v>0.75</x:v>
      </x:c>
      <x:c r="C245" s="23" t="str">
        <x:v>Практичні</x:v>
      </x:c>
      <x:c r="D245" s="24"/>
      <x:c r="E245" s="24"/>
      <x:c r="F245" s="24"/>
      <x:c r="G245" s="14" t="n">
        <x:v>20</x:v>
      </x:c>
      <x:c r="H245" s="14" t="str">
        <x:f>IF(F245="","",ROUND(F245/2,0))</x:f>
      </x:c>
      <x:c r="I245" s="15"/>
      <x:c r="J245" s="15"/>
      <x:c r="K245" s="15"/>
      <x:c r="L245" s="15"/>
      <x:c r="M245" s="17" t="str">
        <x:v>Ще немає заміру</x:v>
      </x:c>
    </x:row>
    <x:row r="246" ht="25" customHeight="1">
      <x:c r="A246" s="10" t="str">
        <x:v>CYKYL-F · карта геометрії</x:v>
      </x:c>
      <x:c r="B246" s="11" t="n">
        <x:v>0.75</x:v>
      </x:c>
      <x:c r="C246" s="25" t="str">
        <x:v>Прогнозовані</x:v>
      </x:c>
      <x:c r="D246" s="26"/>
      <x:c r="E246" s="26"/>
      <x:c r="F246" s="26"/>
      <x:c r="G246" s="14" t="n">
        <x:v>20</x:v>
      </x:c>
      <x:c r="H246" s="14" t="str">
        <x:f>IF(F246="","",ROUND(F246/2,0))</x:f>
      </x:c>
      <x:c r="I246" s="15"/>
      <x:c r="J246" s="15"/>
      <x:c r="K246" s="15"/>
      <x:c r="L246" s="15" t="n">
        <x:v>2.45</x:v>
      </x:c>
      <x:c r="M246" s="17" t="str">
        <x:v>Матриця + 0,15</x:v>
      </x:c>
    </x:row>
    <x:row r="247" ht="25" customHeight="1">
      <x:c r="A247" s="18" t="str">
        <x:v>CYKYL-F · карта геометрії</x:v>
      </x:c>
      <x:c r="B247" s="19" t="n">
        <x:v>1</x:v>
      </x:c>
      <x:c r="C247" s="18" t="str">
        <x:v>Довідкові</x:v>
      </x:c>
      <x:c r="D247" s="20"/>
      <x:c r="E247" s="20"/>
      <x:c r="F247" s="20" t="n">
        <x:v>400</x:v>
      </x:c>
      <x:c r="G247" s="20" t="n">
        <x:v>20</x:v>
      </x:c>
      <x:c r="H247" s="20" t="n">
        <x:f>IF(F247="","",ROUND(F247/2,0))</x:f>
        <x:v>200</x:v>
      </x:c>
      <x:c r="I247" s="21" t="n">
        <x:v>1.3</x:v>
      </x:c>
      <x:c r="J247" s="21" t="n">
        <x:v>2.4</x:v>
      </x:c>
      <x:c r="K247" s="21"/>
      <x:c r="L247" s="21"/>
      <x:c r="M247" s="22" t="str">
        <x:v>IMG_3855.JPG</x:v>
      </x:c>
    </x:row>
    <x:row r="248" ht="25" customHeight="1">
      <x:c r="A248" s="10" t="str">
        <x:v>CYKYL-F · карта геометрії</x:v>
      </x:c>
      <x:c r="B248" s="11" t="n">
        <x:v>1</x:v>
      </x:c>
      <x:c r="C248" s="23" t="str">
        <x:v>Практичні</x:v>
      </x:c>
      <x:c r="D248" s="24"/>
      <x:c r="E248" s="24"/>
      <x:c r="F248" s="24"/>
      <x:c r="G248" s="14" t="n">
        <x:v>20</x:v>
      </x:c>
      <x:c r="H248" s="14" t="str">
        <x:f>IF(F248="","",ROUND(F248/2,0))</x:f>
      </x:c>
      <x:c r="I248" s="15"/>
      <x:c r="J248" s="15"/>
      <x:c r="K248" s="15"/>
      <x:c r="L248" s="15"/>
      <x:c r="M248" s="17" t="str">
        <x:v>Ще немає заміру</x:v>
      </x:c>
    </x:row>
    <x:row r="249" ht="25" customHeight="1">
      <x:c r="A249" s="10" t="str">
        <x:v>CYKYL-F · карта геометрії</x:v>
      </x:c>
      <x:c r="B249" s="11" t="n">
        <x:v>1</x:v>
      </x:c>
      <x:c r="C249" s="25" t="str">
        <x:v>Прогнозовані</x:v>
      </x:c>
      <x:c r="D249" s="26"/>
      <x:c r="E249" s="26"/>
      <x:c r="F249" s="26"/>
      <x:c r="G249" s="14" t="n">
        <x:v>20</x:v>
      </x:c>
      <x:c r="H249" s="14" t="str">
        <x:f>IF(F249="","",ROUND(F249/2,0))</x:f>
      </x:c>
      <x:c r="I249" s="15"/>
      <x:c r="J249" s="15"/>
      <x:c r="K249" s="15"/>
      <x:c r="L249" s="15" t="n">
        <x:v>2.55</x:v>
      </x:c>
      <x:c r="M249" s="17" t="str">
        <x:v>Матриця + 0,15</x:v>
      </x:c>
    </x:row>
    <x:row r="250" ht="25" customHeight="1">
      <x:c r="A250" s="18" t="str">
        <x:v>CYKYL-F · карта геометрії</x:v>
      </x:c>
      <x:c r="B250" s="19" t="n">
        <x:v>1.5</x:v>
      </x:c>
      <x:c r="C250" s="18" t="str">
        <x:v>Довідкові</x:v>
      </x:c>
      <x:c r="D250" s="20"/>
      <x:c r="E250" s="20"/>
      <x:c r="F250" s="20" t="n">
        <x:v>300</x:v>
      </x:c>
      <x:c r="G250" s="20" t="n">
        <x:v>20</x:v>
      </x:c>
      <x:c r="H250" s="20" t="n">
        <x:f>IF(F250="","",ROUND(F250/2,0))</x:f>
        <x:v>150</x:v>
      </x:c>
      <x:c r="I250" s="21" t="n">
        <x:v>1.6</x:v>
      </x:c>
      <x:c r="J250" s="21" t="n">
        <x:v>2.7</x:v>
      </x:c>
      <x:c r="K250" s="21"/>
      <x:c r="L250" s="21"/>
      <x:c r="M250" s="22" t="str">
        <x:v>IMG_3855.JPG</x:v>
      </x:c>
    </x:row>
    <x:row r="251" ht="25" customHeight="1">
      <x:c r="A251" s="10" t="str">
        <x:v>CYKYL-F · карта геометрії</x:v>
      </x:c>
      <x:c r="B251" s="11" t="n">
        <x:v>1.5</x:v>
      </x:c>
      <x:c r="C251" s="23" t="str">
        <x:v>Практичні</x:v>
      </x:c>
      <x:c r="D251" s="24"/>
      <x:c r="E251" s="24"/>
      <x:c r="F251" s="24"/>
      <x:c r="G251" s="14" t="n">
        <x:v>20</x:v>
      </x:c>
      <x:c r="H251" s="14" t="str">
        <x:f>IF(F251="","",ROUND(F251/2,0))</x:f>
      </x:c>
      <x:c r="I251" s="15"/>
      <x:c r="J251" s="15"/>
      <x:c r="K251" s="15"/>
      <x:c r="L251" s="15"/>
      <x:c r="M251" s="17" t="str">
        <x:v>Ще немає заміру</x:v>
      </x:c>
    </x:row>
    <x:row r="252" ht="25" customHeight="1">
      <x:c r="A252" s="10" t="str">
        <x:v>CYKYL-F · карта геометрії</x:v>
      </x:c>
      <x:c r="B252" s="11" t="n">
        <x:v>1.5</x:v>
      </x:c>
      <x:c r="C252" s="25" t="str">
        <x:v>Прогнозовані</x:v>
      </x:c>
      <x:c r="D252" s="26"/>
      <x:c r="E252" s="26"/>
      <x:c r="F252" s="26"/>
      <x:c r="G252" s="14" t="n">
        <x:v>20</x:v>
      </x:c>
      <x:c r="H252" s="14" t="str">
        <x:f>IF(F252="","",ROUND(F252/2,0))</x:f>
      </x:c>
      <x:c r="I252" s="15"/>
      <x:c r="J252" s="15"/>
      <x:c r="K252" s="15"/>
      <x:c r="L252" s="15" t="n">
        <x:v>2.85</x:v>
      </x:c>
      <x:c r="M252" s="17" t="str">
        <x:v>Матриця + 0,15</x:v>
      </x:c>
    </x:row>
    <x:row r="253" ht="25" customHeight="1">
      <x:c r="A253" s="18" t="str">
        <x:v>CYKYL-F · карта геометрії</x:v>
      </x:c>
      <x:c r="B253" s="19" t="n">
        <x:v>2.5</x:v>
      </x:c>
      <x:c r="C253" s="18" t="str">
        <x:v>Довідкові</x:v>
      </x:c>
      <x:c r="D253" s="20"/>
      <x:c r="E253" s="20"/>
      <x:c r="F253" s="20" t="n">
        <x:v>250</x:v>
      </x:c>
      <x:c r="G253" s="20" t="n">
        <x:v>20</x:v>
      </x:c>
      <x:c r="H253" s="20" t="n">
        <x:f>IF(F253="","",ROUND(F253/2,0))</x:f>
        <x:v>125</x:v>
      </x:c>
      <x:c r="I253" s="21" t="n">
        <x:v>2.1</x:v>
      </x:c>
      <x:c r="J253" s="21" t="n">
        <x:v>3.4</x:v>
      </x:c>
      <x:c r="K253" s="21"/>
      <x:c r="L253" s="21"/>
      <x:c r="M253" s="22" t="str">
        <x:v>IMG_3855.JPG</x:v>
      </x:c>
    </x:row>
    <x:row r="254" ht="25" customHeight="1">
      <x:c r="A254" s="10" t="str">
        <x:v>CYKYL-F · карта геометрії</x:v>
      </x:c>
      <x:c r="B254" s="11" t="n">
        <x:v>2.5</x:v>
      </x:c>
      <x:c r="C254" s="23" t="str">
        <x:v>Практичні</x:v>
      </x:c>
      <x:c r="D254" s="24"/>
      <x:c r="E254" s="24"/>
      <x:c r="F254" s="24"/>
      <x:c r="G254" s="14" t="n">
        <x:v>20</x:v>
      </x:c>
      <x:c r="H254" s="14" t="str">
        <x:f>IF(F254="","",ROUND(F254/2,0))</x:f>
      </x:c>
      <x:c r="I254" s="15"/>
      <x:c r="J254" s="15"/>
      <x:c r="K254" s="15"/>
      <x:c r="L254" s="15"/>
      <x:c r="M254" s="17" t="str">
        <x:v>Ще немає заміру</x:v>
      </x:c>
    </x:row>
    <x:row r="255" ht="25" customHeight="1">
      <x:c r="A255" s="10" t="str">
        <x:v>CYKYL-F · карта геометрії</x:v>
      </x:c>
      <x:c r="B255" s="11" t="n">
        <x:v>2.5</x:v>
      </x:c>
      <x:c r="C255" s="25" t="str">
        <x:v>Прогнозовані</x:v>
      </x:c>
      <x:c r="D255" s="26"/>
      <x:c r="E255" s="26"/>
      <x:c r="F255" s="26"/>
      <x:c r="G255" s="14" t="n">
        <x:v>20</x:v>
      </x:c>
      <x:c r="H255" s="14" t="str">
        <x:f>IF(F255="","",ROUND(F255/2,0))</x:f>
      </x:c>
      <x:c r="I255" s="15"/>
      <x:c r="J255" s="15"/>
      <x:c r="K255" s="15"/>
      <x:c r="L255" s="15" t="n">
        <x:v>3.55</x:v>
      </x:c>
      <x:c r="M255" s="17" t="str">
        <x:v>Матриця + 0,15</x:v>
      </x:c>
    </x:row>
    <x:row r="256" ht="25" customHeight="1">
      <x:c r="A256" s="18" t="str">
        <x:v>CYKYL-F · карта геометрії</x:v>
      </x:c>
      <x:c r="B256" s="19" t="n">
        <x:v>4</x:v>
      </x:c>
      <x:c r="C256" s="18" t="str">
        <x:v>Довідкові</x:v>
      </x:c>
      <x:c r="D256" s="20"/>
      <x:c r="E256" s="20"/>
      <x:c r="F256" s="20" t="n">
        <x:v>200</x:v>
      </x:c>
      <x:c r="G256" s="20" t="n">
        <x:v>20</x:v>
      </x:c>
      <x:c r="H256" s="20" t="n">
        <x:f>IF(F256="","",ROUND(F256/2,0))</x:f>
        <x:v>100</x:v>
      </x:c>
      <x:c r="I256" s="21" t="n">
        <x:v>2.6</x:v>
      </x:c>
      <x:c r="J256" s="21" t="n">
        <x:v>3.9</x:v>
      </x:c>
      <x:c r="K256" s="21"/>
      <x:c r="L256" s="21"/>
      <x:c r="M256" s="22" t="str">
        <x:v>IMG_3855.JPG</x:v>
      </x:c>
    </x:row>
    <x:row r="257" ht="25" customHeight="1">
      <x:c r="A257" s="10" t="str">
        <x:v>CYKYL-F · карта геометрії</x:v>
      </x:c>
      <x:c r="B257" s="11" t="n">
        <x:v>4</x:v>
      </x:c>
      <x:c r="C257" s="23" t="str">
        <x:v>Практичні</x:v>
      </x:c>
      <x:c r="D257" s="24"/>
      <x:c r="E257" s="24"/>
      <x:c r="F257" s="24"/>
      <x:c r="G257" s="14" t="n">
        <x:v>20</x:v>
      </x:c>
      <x:c r="H257" s="14" t="str">
        <x:f>IF(F257="","",ROUND(F257/2,0))</x:f>
      </x:c>
      <x:c r="I257" s="15"/>
      <x:c r="J257" s="15"/>
      <x:c r="K257" s="15"/>
      <x:c r="L257" s="15"/>
      <x:c r="M257" s="17" t="str">
        <x:v>Ще немає заміру</x:v>
      </x:c>
    </x:row>
    <x:row r="258" ht="25" customHeight="1">
      <x:c r="A258" s="10" t="str">
        <x:v>CYKYL-F · карта геометрії</x:v>
      </x:c>
      <x:c r="B258" s="11" t="n">
        <x:v>4</x:v>
      </x:c>
      <x:c r="C258" s="25" t="str">
        <x:v>Прогнозовані</x:v>
      </x:c>
      <x:c r="D258" s="26"/>
      <x:c r="E258" s="26"/>
      <x:c r="F258" s="26"/>
      <x:c r="G258" s="14" t="n">
        <x:v>20</x:v>
      </x:c>
      <x:c r="H258" s="14" t="str">
        <x:f>IF(F258="","",ROUND(F258/2,0))</x:f>
      </x:c>
      <x:c r="I258" s="15"/>
      <x:c r="J258" s="15"/>
      <x:c r="K258" s="15"/>
      <x:c r="L258" s="15" t="n">
        <x:v>4.05</x:v>
      </x:c>
      <x:c r="M258" s="17" t="str">
        <x:v>Матриця + 0,15</x:v>
      </x:c>
    </x:row>
    <x:row r="259" ht="25" customHeight="1">
      <x:c r="A259" s="18" t="str">
        <x:v>Speaker cable / NYFAZ / LFZ-XY / LSZ-XY</x:v>
      </x:c>
      <x:c r="B259" s="19" t="n">
        <x:v>0.75</x:v>
      </x:c>
      <x:c r="C259" s="18" t="str">
        <x:v>Довідкові</x:v>
      </x:c>
      <x:c r="D259" s="20"/>
      <x:c r="E259" s="20"/>
      <x:c r="F259" s="20" t="n">
        <x:v>160</x:v>
      </x:c>
      <x:c r="G259" s="20" t="n">
        <x:v>20</x:v>
      </x:c>
      <x:c r="H259" s="20" t="n">
        <x:f>IF(F259="","",ROUND(F259/2,0))</x:f>
        <x:v>80</x:v>
      </x:c>
      <x:c r="I259" s="21" t="str">
        <x:v>2×1,25</x:v>
      </x:c>
      <x:c r="J259" s="21" t="str">
        <x:v>2,5×5,2</x:v>
      </x:c>
      <x:c r="K259" s="21"/>
      <x:c r="L259" s="21"/>
      <x:c r="M259" s="22" t="str">
        <x:v>IMG_3856.JPG</x:v>
      </x:c>
    </x:row>
    <x:row r="260" ht="25" customHeight="1">
      <x:c r="A260" s="10" t="str">
        <x:v>Speaker cable / NYFAZ / LFZ-XY / LSZ-XY</x:v>
      </x:c>
      <x:c r="B260" s="11" t="n">
        <x:v>0.75</x:v>
      </x:c>
      <x:c r="C260" s="23" t="str">
        <x:v>Практичні</x:v>
      </x:c>
      <x:c r="D260" s="24" t="n">
        <x:v>60</x:v>
      </x:c>
      <x:c r="E260" s="24" t="n">
        <x:v>40</x:v>
      </x:c>
      <x:c r="F260" s="24"/>
      <x:c r="G260" s="14" t="n">
        <x:v>20</x:v>
      </x:c>
      <x:c r="H260" s="14" t="str">
        <x:f>IF(F260="","",ROUND(F260/2,0))</x:f>
      </x:c>
      <x:c r="I260" s="15"/>
      <x:c r="J260" s="15"/>
      <x:c r="K260" s="15"/>
      <x:c r="L260" s="15"/>
      <x:c r="M260" s="17" t="str">
        <x:v>IMG_3856.JPG</x:v>
      </x:c>
    </x:row>
    <x:row r="261" ht="25" customHeight="1">
      <x:c r="A261" s="10" t="str">
        <x:v>Speaker cable / NYFAZ / LFZ-XY / LSZ-XY</x:v>
      </x:c>
      <x:c r="B261" s="11" t="n">
        <x:v>0.75</x:v>
      </x:c>
      <x:c r="C261" s="25" t="str">
        <x:v>Прогнозовані</x:v>
      </x:c>
      <x:c r="D261" s="26"/>
      <x:c r="E261" s="26"/>
      <x:c r="F261" s="26"/>
      <x:c r="G261" s="14" t="n">
        <x:v>20</x:v>
      </x:c>
      <x:c r="H261" s="14" t="str">
        <x:f>IF(F261="","",ROUND(F261/2,0))</x:f>
      </x:c>
      <x:c r="I261" s="15"/>
      <x:c r="J261" s="15"/>
      <x:c r="K261" s="15"/>
      <x:c r="L261" s="15"/>
      <x:c r="M261" s="17" t="str">
        <x:v>Недостатньо даних</x:v>
      </x:c>
    </x:row>
    <x:row r="262" ht="25" customHeight="1">
      <x:c r="A262" s="18" t="str">
        <x:v>Speaker cable / NYFAZ / LFZ-XY / LSZ-XY</x:v>
      </x:c>
      <x:c r="B262" s="19" t="n">
        <x:v>1</x:v>
      </x:c>
      <x:c r="C262" s="18" t="str">
        <x:v>Довідкові</x:v>
      </x:c>
      <x:c r="D262" s="20"/>
      <x:c r="E262" s="20"/>
      <x:c r="F262" s="20" t="n">
        <x:v>150</x:v>
      </x:c>
      <x:c r="G262" s="20" t="n">
        <x:v>20</x:v>
      </x:c>
      <x:c r="H262" s="20" t="n">
        <x:f>IF(F262="","",ROUND(F262/2,0))</x:f>
        <x:v>75</x:v>
      </x:c>
      <x:c r="I262" s="21" t="str">
        <x:v>2×1,3</x:v>
      </x:c>
      <x:c r="J262" s="21" t="str">
        <x:v>2,6×5,4</x:v>
      </x:c>
      <x:c r="K262" s="21"/>
      <x:c r="L262" s="21"/>
      <x:c r="M262" s="22" t="str">
        <x:v>IMG_3856.JPG</x:v>
      </x:c>
    </x:row>
    <x:row r="263" ht="25" customHeight="1">
      <x:c r="A263" s="10" t="str">
        <x:v>Speaker cable / NYFAZ / LFZ-XY / LSZ-XY</x:v>
      </x:c>
      <x:c r="B263" s="11" t="n">
        <x:v>1</x:v>
      </x:c>
      <x:c r="C263" s="23" t="str">
        <x:v>Практичні</x:v>
      </x:c>
      <x:c r="D263" s="24"/>
      <x:c r="E263" s="24"/>
      <x:c r="F263" s="24"/>
      <x:c r="G263" s="14" t="n">
        <x:v>20</x:v>
      </x:c>
      <x:c r="H263" s="14" t="str">
        <x:f>IF(F263="","",ROUND(F263/2,0))</x:f>
      </x:c>
      <x:c r="I263" s="15"/>
      <x:c r="J263" s="15"/>
      <x:c r="K263" s="15"/>
      <x:c r="L263" s="15"/>
      <x:c r="M263" s="17" t="str">
        <x:v>Ще немає заміру</x:v>
      </x:c>
    </x:row>
    <x:row r="264" ht="25" customHeight="1">
      <x:c r="A264" s="10" t="str">
        <x:v>Speaker cable / NYFAZ / LFZ-XY / LSZ-XY</x:v>
      </x:c>
      <x:c r="B264" s="11" t="n">
        <x:v>1</x:v>
      </x:c>
      <x:c r="C264" s="25" t="str">
        <x:v>Прогнозовані</x:v>
      </x:c>
      <x:c r="D264" s="26"/>
      <x:c r="E264" s="26"/>
      <x:c r="F264" s="26"/>
      <x:c r="G264" s="14" t="n">
        <x:v>20</x:v>
      </x:c>
      <x:c r="H264" s="14" t="str">
        <x:f>IF(F264="","",ROUND(F264/2,0))</x:f>
      </x:c>
      <x:c r="I264" s="15"/>
      <x:c r="J264" s="15"/>
      <x:c r="K264" s="15"/>
      <x:c r="L264" s="15"/>
      <x:c r="M264" s="17" t="str">
        <x:v>Недостатньо даних</x:v>
      </x:c>
    </x:row>
    <x:row r="265" ht="25" customHeight="1">
      <x:c r="A265" s="18" t="str">
        <x:v>Speaker cable / NYFAZ / LFZ-XY / LSZ-XY</x:v>
      </x:c>
      <x:c r="B265" s="19" t="n">
        <x:v>1.5</x:v>
      </x:c>
      <x:c r="C265" s="18" t="str">
        <x:v>Довідкові</x:v>
      </x:c>
      <x:c r="D265" s="20"/>
      <x:c r="E265" s="20"/>
      <x:c r="F265" s="20" t="n">
        <x:v>130</x:v>
      </x:c>
      <x:c r="G265" s="20" t="n">
        <x:v>20</x:v>
      </x:c>
      <x:c r="H265" s="20" t="n">
        <x:f>IF(F265="","",ROUND(F265/2,0))</x:f>
        <x:v>65</x:v>
      </x:c>
      <x:c r="I265" s="21" t="str">
        <x:v>2×1,6</x:v>
      </x:c>
      <x:c r="J265" s="21" t="str">
        <x:v>2,9×6</x:v>
      </x:c>
      <x:c r="K265" s="21"/>
      <x:c r="L265" s="21"/>
      <x:c r="M265" s="22" t="str">
        <x:v>IMG_3856.JPG</x:v>
      </x:c>
    </x:row>
    <x:row r="266" ht="25" customHeight="1">
      <x:c r="A266" s="10" t="str">
        <x:v>Speaker cable / NYFAZ / LFZ-XY / LSZ-XY</x:v>
      </x:c>
      <x:c r="B266" s="11" t="n">
        <x:v>1.5</x:v>
      </x:c>
      <x:c r="C266" s="23" t="str">
        <x:v>Практичні</x:v>
      </x:c>
      <x:c r="D266" s="24" t="n">
        <x:v>60</x:v>
      </x:c>
      <x:c r="E266" s="24" t="n">
        <x:v>35</x:v>
      </x:c>
      <x:c r="F266" s="24"/>
      <x:c r="G266" s="14" t="n">
        <x:v>20</x:v>
      </x:c>
      <x:c r="H266" s="14" t="str">
        <x:f>IF(F266="","",ROUND(F266/2,0))</x:f>
      </x:c>
      <x:c r="I266" s="15"/>
      <x:c r="J266" s="15"/>
      <x:c r="K266" s="15"/>
      <x:c r="L266" s="15"/>
      <x:c r="M266" s="17" t="str">
        <x:v>IMG_3856.JPG</x:v>
      </x:c>
    </x:row>
    <x:row r="267" ht="25" customHeight="1">
      <x:c r="A267" s="10" t="str">
        <x:v>Speaker cable / NYFAZ / LFZ-XY / LSZ-XY</x:v>
      </x:c>
      <x:c r="B267" s="11" t="n">
        <x:v>1.5</x:v>
      </x:c>
      <x:c r="C267" s="25" t="str">
        <x:v>Прогнозовані</x:v>
      </x:c>
      <x:c r="D267" s="26"/>
      <x:c r="E267" s="26"/>
      <x:c r="F267" s="26"/>
      <x:c r="G267" s="14" t="n">
        <x:v>20</x:v>
      </x:c>
      <x:c r="H267" s="14" t="str">
        <x:f>IF(F267="","",ROUND(F267/2,0))</x:f>
      </x:c>
      <x:c r="I267" s="15"/>
      <x:c r="J267" s="15"/>
      <x:c r="K267" s="15"/>
      <x:c r="L267" s="15"/>
      <x:c r="M267" s="17" t="str">
        <x:v>Недостатньо даних</x:v>
      </x:c>
    </x:row>
    <x:row r="268" ht="25" customHeight="1">
      <x:c r="A268" s="18" t="str">
        <x:v>Speaker cable / NYFAZ / LFZ-XY / LSZ-XY</x:v>
      </x:c>
      <x:c r="B268" s="19" t="n">
        <x:v>2.5</x:v>
      </x:c>
      <x:c r="C268" s="18" t="str">
        <x:v>Довідкові</x:v>
      </x:c>
      <x:c r="D268" s="20"/>
      <x:c r="E268" s="20"/>
      <x:c r="F268" s="20" t="n">
        <x:v>110</x:v>
      </x:c>
      <x:c r="G268" s="20" t="n">
        <x:v>20</x:v>
      </x:c>
      <x:c r="H268" s="20" t="n">
        <x:f>IF(F268="","",ROUND(F268/2,0))</x:f>
        <x:v>55</x:v>
      </x:c>
      <x:c r="I268" s="21" t="str">
        <x:v>2×2,15</x:v>
      </x:c>
      <x:c r="J268" s="21" t="str">
        <x:v>3,6×7,4</x:v>
      </x:c>
      <x:c r="K268" s="21"/>
      <x:c r="L268" s="21"/>
      <x:c r="M268" s="22" t="str">
        <x:v>IMG_3856.JPG</x:v>
      </x:c>
    </x:row>
    <x:row r="269" ht="25" customHeight="1">
      <x:c r="A269" s="10" t="str">
        <x:v>Speaker cable / NYFAZ / LFZ-XY / LSZ-XY</x:v>
      </x:c>
      <x:c r="B269" s="11" t="n">
        <x:v>2.5</x:v>
      </x:c>
      <x:c r="C269" s="23" t="str">
        <x:v>Практичні</x:v>
      </x:c>
      <x:c r="D269" s="24"/>
      <x:c r="E269" s="24"/>
      <x:c r="F269" s="24"/>
      <x:c r="G269" s="14" t="n">
        <x:v>20</x:v>
      </x:c>
      <x:c r="H269" s="14" t="str">
        <x:f>IF(F269="","",ROUND(F269/2,0))</x:f>
      </x:c>
      <x:c r="I269" s="15"/>
      <x:c r="J269" s="15"/>
      <x:c r="K269" s="15"/>
      <x:c r="L269" s="15"/>
      <x:c r="M269" s="17" t="str">
        <x:v>Ще немає заміру</x:v>
      </x:c>
    </x:row>
    <x:row r="270" ht="25" customHeight="1">
      <x:c r="A270" s="10" t="str">
        <x:v>Speaker cable / NYFAZ / LFZ-XY / LSZ-XY</x:v>
      </x:c>
      <x:c r="B270" s="11" t="n">
        <x:v>2.5</x:v>
      </x:c>
      <x:c r="C270" s="25" t="str">
        <x:v>Прогнозовані</x:v>
      </x:c>
      <x:c r="D270" s="26"/>
      <x:c r="E270" s="26"/>
      <x:c r="F270" s="26"/>
      <x:c r="G270" s="14" t="n">
        <x:v>20</x:v>
      </x:c>
      <x:c r="H270" s="14" t="str">
        <x:f>IF(F270="","",ROUND(F270/2,0))</x:f>
      </x:c>
      <x:c r="I270" s="15"/>
      <x:c r="J270" s="15"/>
      <x:c r="K270" s="15"/>
      <x:c r="L270" s="15"/>
      <x:c r="M270" s="17" t="str">
        <x:v>Недостатньо даних</x:v>
      </x:c>
    </x:row>
    <x:row r="271" ht="25" customHeight="1">
      <x:c r="A271" s="18" t="str">
        <x:v>XYMM, 450/750 В</x:v>
      </x:c>
      <x:c r="B271" s="19" t="n">
        <x:v>1.5</x:v>
      </x:c>
      <x:c r="C271" s="18" t="str">
        <x:v>Довідкові</x:v>
      </x:c>
      <x:c r="D271" s="20"/>
      <x:c r="E271" s="20"/>
      <x:c r="F271" s="20"/>
      <x:c r="G271" s="20" t="n">
        <x:v>20</x:v>
      </x:c>
      <x:c r="H271" s="20" t="str">
        <x:f>IF(F271="","",ROUND(F271/2,0))</x:f>
      </x:c>
      <x:c r="I271" s="21" t="n">
        <x:v>1.65</x:v>
      </x:c>
      <x:c r="J271" s="21" t="n">
        <x:v>3.15</x:v>
      </x:c>
      <x:c r="K271" s="21"/>
      <x:c r="L271" s="21"/>
      <x:c r="M271" s="22" t="str">
        <x:v>IMG_3857.JPG</x:v>
      </x:c>
    </x:row>
    <x:row r="272" ht="25" customHeight="1">
      <x:c r="A272" s="10" t="str">
        <x:v>XYMM, 450/750 В</x:v>
      </x:c>
      <x:c r="B272" s="11" t="n">
        <x:v>1.5</x:v>
      </x:c>
      <x:c r="C272" s="23" t="str">
        <x:v>Практичні</x:v>
      </x:c>
      <x:c r="D272" s="24"/>
      <x:c r="E272" s="24"/>
      <x:c r="F272" s="24"/>
      <x:c r="G272" s="14" t="n">
        <x:v>20</x:v>
      </x:c>
      <x:c r="H272" s="14" t="str">
        <x:f>IF(F272="","",ROUND(F272/2,0))</x:f>
      </x:c>
      <x:c r="I272" s="15"/>
      <x:c r="J272" s="15"/>
      <x:c r="K272" s="15"/>
      <x:c r="L272" s="15"/>
      <x:c r="M272" s="17" t="str">
        <x:v>Ще немає заміру</x:v>
      </x:c>
    </x:row>
    <x:row r="273" ht="25" customHeight="1">
      <x:c r="A273" s="10" t="str">
        <x:v>XYMM, 450/750 В</x:v>
      </x:c>
      <x:c r="B273" s="11" t="n">
        <x:v>1.5</x:v>
      </x:c>
      <x:c r="C273" s="25" t="str">
        <x:v>Прогнозовані</x:v>
      </x:c>
      <x:c r="D273" s="26"/>
      <x:c r="E273" s="26"/>
      <x:c r="F273" s="26"/>
      <x:c r="G273" s="14" t="n">
        <x:v>20</x:v>
      </x:c>
      <x:c r="H273" s="14" t="str">
        <x:f>IF(F273="","",ROUND(F273/2,0))</x:f>
      </x:c>
      <x:c r="I273" s="15"/>
      <x:c r="J273" s="15"/>
      <x:c r="K273" s="15"/>
      <x:c r="L273" s="15" t="n">
        <x:v>3.3</x:v>
      </x:c>
      <x:c r="M273" s="17" t="str">
        <x:v>Матриця + 0,15</x:v>
      </x:c>
    </x:row>
    <x:row r="274" ht="25" customHeight="1">
      <x:c r="A274" s="18" t="str">
        <x:v>XYMM, 450/750 В</x:v>
      </x:c>
      <x:c r="B274" s="19" t="n">
        <x:v>2.5</x:v>
      </x:c>
      <x:c r="C274" s="18" t="str">
        <x:v>Довідкові</x:v>
      </x:c>
      <x:c r="D274" s="20"/>
      <x:c r="E274" s="20"/>
      <x:c r="F274" s="20"/>
      <x:c r="G274" s="20" t="n">
        <x:v>20</x:v>
      </x:c>
      <x:c r="H274" s="20" t="str">
        <x:f>IF(F274="","",ROUND(F274/2,0))</x:f>
      </x:c>
      <x:c r="I274" s="21" t="n">
        <x:v>2.1</x:v>
      </x:c>
      <x:c r="J274" s="21" t="n">
        <x:v>3.6</x:v>
      </x:c>
      <x:c r="K274" s="21"/>
      <x:c r="L274" s="21"/>
      <x:c r="M274" s="22" t="str">
        <x:v>IMG_3857.JPG</x:v>
      </x:c>
    </x:row>
    <x:row r="275" ht="25" customHeight="1">
      <x:c r="A275" s="10" t="str">
        <x:v>XYMM, 450/750 В</x:v>
      </x:c>
      <x:c r="B275" s="11" t="n">
        <x:v>2.5</x:v>
      </x:c>
      <x:c r="C275" s="23" t="str">
        <x:v>Практичні</x:v>
      </x:c>
      <x:c r="D275" s="24"/>
      <x:c r="E275" s="24"/>
      <x:c r="F275" s="24"/>
      <x:c r="G275" s="14" t="n">
        <x:v>20</x:v>
      </x:c>
      <x:c r="H275" s="14" t="str">
        <x:f>IF(F275="","",ROUND(F275/2,0))</x:f>
      </x:c>
      <x:c r="I275" s="15"/>
      <x:c r="J275" s="15"/>
      <x:c r="K275" s="15"/>
      <x:c r="L275" s="15"/>
      <x:c r="M275" s="17" t="str">
        <x:v>Ще немає заміру</x:v>
      </x:c>
    </x:row>
    <x:row r="276" ht="25" customHeight="1">
      <x:c r="A276" s="10" t="str">
        <x:v>XYMM, 450/750 В</x:v>
      </x:c>
      <x:c r="B276" s="11" t="n">
        <x:v>2.5</x:v>
      </x:c>
      <x:c r="C276" s="25" t="str">
        <x:v>Прогнозовані</x:v>
      </x:c>
      <x:c r="D276" s="26"/>
      <x:c r="E276" s="26"/>
      <x:c r="F276" s="26"/>
      <x:c r="G276" s="14" t="n">
        <x:v>20</x:v>
      </x:c>
      <x:c r="H276" s="14" t="str">
        <x:f>IF(F276="","",ROUND(F276/2,0))</x:f>
      </x:c>
      <x:c r="I276" s="15"/>
      <x:c r="J276" s="15"/>
      <x:c r="K276" s="15"/>
      <x:c r="L276" s="15" t="n">
        <x:v>3.75</x:v>
      </x:c>
      <x:c r="M276" s="17" t="str">
        <x:v>Матриця + 0,15</x:v>
      </x:c>
    </x:row>
    <x:row r="277" ht="25" customHeight="1">
      <x:c r="A277" s="18" t="str">
        <x:v>XYMM, 450/750 В</x:v>
      </x:c>
      <x:c r="B277" s="19" t="n">
        <x:v>4</x:v>
      </x:c>
      <x:c r="C277" s="18" t="str">
        <x:v>Довідкові</x:v>
      </x:c>
      <x:c r="D277" s="20"/>
      <x:c r="E277" s="20"/>
      <x:c r="F277" s="20"/>
      <x:c r="G277" s="20" t="n">
        <x:v>20</x:v>
      </x:c>
      <x:c r="H277" s="20" t="str">
        <x:f>IF(F277="","",ROUND(F277/2,0))</x:f>
      </x:c>
      <x:c r="I277" s="21" t="n">
        <x:v>2.65</x:v>
      </x:c>
      <x:c r="J277" s="21" t="n">
        <x:v>4.3</x:v>
      </x:c>
      <x:c r="K277" s="21"/>
      <x:c r="L277" s="21"/>
      <x:c r="M277" s="22" t="str">
        <x:v>IMG_3857.JPG</x:v>
      </x:c>
    </x:row>
    <x:row r="278" ht="25" customHeight="1">
      <x:c r="A278" s="10" t="str">
        <x:v>XYMM, 450/750 В</x:v>
      </x:c>
      <x:c r="B278" s="11" t="n">
        <x:v>4</x:v>
      </x:c>
      <x:c r="C278" s="23" t="str">
        <x:v>Практичні</x:v>
      </x:c>
      <x:c r="D278" s="24"/>
      <x:c r="E278" s="24"/>
      <x:c r="F278" s="24"/>
      <x:c r="G278" s="14" t="n">
        <x:v>20</x:v>
      </x:c>
      <x:c r="H278" s="14" t="str">
        <x:f>IF(F278="","",ROUND(F278/2,0))</x:f>
      </x:c>
      <x:c r="I278" s="15"/>
      <x:c r="J278" s="15"/>
      <x:c r="K278" s="15"/>
      <x:c r="L278" s="15"/>
      <x:c r="M278" s="17" t="str">
        <x:v>Ще немає заміру</x:v>
      </x:c>
    </x:row>
    <x:row r="279" ht="25" customHeight="1">
      <x:c r="A279" s="10" t="str">
        <x:v>XYMM, 450/750 В</x:v>
      </x:c>
      <x:c r="B279" s="11" t="n">
        <x:v>4</x:v>
      </x:c>
      <x:c r="C279" s="25" t="str">
        <x:v>Прогнозовані</x:v>
      </x:c>
      <x:c r="D279" s="26"/>
      <x:c r="E279" s="26"/>
      <x:c r="F279" s="26"/>
      <x:c r="G279" s="14" t="n">
        <x:v>20</x:v>
      </x:c>
      <x:c r="H279" s="14" t="str">
        <x:f>IF(F279="","",ROUND(F279/2,0))</x:f>
      </x:c>
      <x:c r="I279" s="15"/>
      <x:c r="J279" s="15"/>
      <x:c r="K279" s="15"/>
      <x:c r="L279" s="15" t="n">
        <x:v>4.45</x:v>
      </x:c>
      <x:c r="M279" s="17" t="str">
        <x:v>Матриця + 0,15</x:v>
      </x:c>
    </x:row>
    <x:row r="280" ht="25" customHeight="1">
      <x:c r="A280" s="18" t="str">
        <x:v>XYMM, 450/750 В</x:v>
      </x:c>
      <x:c r="B280" s="19" t="n">
        <x:v>6</x:v>
      </x:c>
      <x:c r="C280" s="18" t="str">
        <x:v>Довідкові</x:v>
      </x:c>
      <x:c r="D280" s="20"/>
      <x:c r="E280" s="20"/>
      <x:c r="F280" s="20"/>
      <x:c r="G280" s="20" t="n">
        <x:v>20</x:v>
      </x:c>
      <x:c r="H280" s="20" t="str">
        <x:f>IF(F280="","",ROUND(F280/2,0))</x:f>
      </x:c>
      <x:c r="I280" s="21" t="n">
        <x:v>3.2</x:v>
      </x:c>
      <x:c r="J280" s="21" t="n">
        <x:v>4.85</x:v>
      </x:c>
      <x:c r="K280" s="21"/>
      <x:c r="L280" s="21"/>
      <x:c r="M280" s="22" t="str">
        <x:v>IMG_3857.JPG</x:v>
      </x:c>
    </x:row>
    <x:row r="281" ht="25" customHeight="1">
      <x:c r="A281" s="10" t="str">
        <x:v>XYMM, 450/750 В</x:v>
      </x:c>
      <x:c r="B281" s="11" t="n">
        <x:v>6</x:v>
      </x:c>
      <x:c r="C281" s="23" t="str">
        <x:v>Практичні</x:v>
      </x:c>
      <x:c r="D281" s="24"/>
      <x:c r="E281" s="24"/>
      <x:c r="F281" s="24"/>
      <x:c r="G281" s="14" t="n">
        <x:v>20</x:v>
      </x:c>
      <x:c r="H281" s="14" t="str">
        <x:f>IF(F281="","",ROUND(F281/2,0))</x:f>
      </x:c>
      <x:c r="I281" s="15"/>
      <x:c r="J281" s="15"/>
      <x:c r="K281" s="15"/>
      <x:c r="L281" s="15"/>
      <x:c r="M281" s="17" t="str">
        <x:v>Ще немає заміру</x:v>
      </x:c>
    </x:row>
    <x:row r="282" ht="25" customHeight="1">
      <x:c r="A282" s="10" t="str">
        <x:v>XYMM, 450/750 В</x:v>
      </x:c>
      <x:c r="B282" s="11" t="n">
        <x:v>6</x:v>
      </x:c>
      <x:c r="C282" s="25" t="str">
        <x:v>Прогнозовані</x:v>
      </x:c>
      <x:c r="D282" s="26"/>
      <x:c r="E282" s="26"/>
      <x:c r="F282" s="26"/>
      <x:c r="G282" s="14" t="n">
        <x:v>20</x:v>
      </x:c>
      <x:c r="H282" s="14" t="str">
        <x:f>IF(F282="","",ROUND(F282/2,0))</x:f>
      </x:c>
      <x:c r="I282" s="15"/>
      <x:c r="J282" s="15"/>
      <x:c r="K282" s="15"/>
      <x:c r="L282" s="15" t="n">
        <x:v>5</x:v>
      </x:c>
      <x:c r="M282" s="17" t="str">
        <x:v>Матриця + 0,15</x:v>
      </x:c>
    </x:row>
    <x:row r="283" ht="25" customHeight="1">
      <x:c r="A283" s="18" t="str">
        <x:v>XYMM, 450/750 В</x:v>
      </x:c>
      <x:c r="B283" s="19" t="n">
        <x:v>10</x:v>
      </x:c>
      <x:c r="C283" s="18" t="str">
        <x:v>Довідкові</x:v>
      </x:c>
      <x:c r="D283" s="20"/>
      <x:c r="E283" s="20"/>
      <x:c r="F283" s="20"/>
      <x:c r="G283" s="20" t="n">
        <x:v>20</x:v>
      </x:c>
      <x:c r="H283" s="20" t="str">
        <x:f>IF(F283="","",ROUND(F283/2,0))</x:f>
      </x:c>
      <x:c r="I283" s="21" t="n">
        <x:v>4.2</x:v>
      </x:c>
      <x:c r="J283" s="21" t="n">
        <x:v>6</x:v>
      </x:c>
      <x:c r="K283" s="21"/>
      <x:c r="L283" s="21"/>
      <x:c r="M283" s="22" t="str">
        <x:v>IMG_3857.JPG</x:v>
      </x:c>
    </x:row>
    <x:row r="284" ht="25" customHeight="1">
      <x:c r="A284" s="10" t="str">
        <x:v>XYMM, 450/750 В</x:v>
      </x:c>
      <x:c r="B284" s="11" t="n">
        <x:v>10</x:v>
      </x:c>
      <x:c r="C284" s="23" t="str">
        <x:v>Практичні</x:v>
      </x:c>
      <x:c r="D284" s="24"/>
      <x:c r="E284" s="24"/>
      <x:c r="F284" s="24"/>
      <x:c r="G284" s="14" t="n">
        <x:v>20</x:v>
      </x:c>
      <x:c r="H284" s="14" t="str">
        <x:f>IF(F284="","",ROUND(F284/2,0))</x:f>
      </x:c>
      <x:c r="I284" s="15"/>
      <x:c r="J284" s="15"/>
      <x:c r="K284" s="15"/>
      <x:c r="L284" s="15"/>
      <x:c r="M284" s="17" t="str">
        <x:v>Ще немає заміру</x:v>
      </x:c>
    </x:row>
    <x:row r="285" ht="25" customHeight="1">
      <x:c r="A285" s="10" t="str">
        <x:v>XYMM, 450/750 В</x:v>
      </x:c>
      <x:c r="B285" s="11" t="n">
        <x:v>10</x:v>
      </x:c>
      <x:c r="C285" s="25" t="str">
        <x:v>Прогнозовані</x:v>
      </x:c>
      <x:c r="D285" s="26"/>
      <x:c r="E285" s="26"/>
      <x:c r="F285" s="26"/>
      <x:c r="G285" s="14" t="n">
        <x:v>20</x:v>
      </x:c>
      <x:c r="H285" s="14" t="str">
        <x:f>IF(F285="","",ROUND(F285/2,0))</x:f>
      </x:c>
      <x:c r="I285" s="15"/>
      <x:c r="J285" s="15"/>
      <x:c r="K285" s="15"/>
      <x:c r="L285" s="15" t="n">
        <x:v>6.15</x:v>
      </x:c>
      <x:c r="M285" s="17" t="str">
        <x:v>Матриця + 0,15</x:v>
      </x:c>
    </x:row>
    <x:row r="286" ht="25" customHeight="1">
      <x:c r="A286" s="18" t="str">
        <x:v>XYMM, 450/750 В</x:v>
      </x:c>
      <x:c r="B286" s="19" t="n">
        <x:v>16</x:v>
      </x:c>
      <x:c r="C286" s="18" t="str">
        <x:v>Довідкові</x:v>
      </x:c>
      <x:c r="D286" s="20"/>
      <x:c r="E286" s="20"/>
      <x:c r="F286" s="20"/>
      <x:c r="G286" s="20" t="n">
        <x:v>20</x:v>
      </x:c>
      <x:c r="H286" s="20" t="str">
        <x:f>IF(F286="","",ROUND(F286/2,0))</x:f>
      </x:c>
      <x:c r="I286" s="21" t="n">
        <x:v>5.3</x:v>
      </x:c>
      <x:c r="J286" s="21" t="n">
        <x:v>7.15</x:v>
      </x:c>
      <x:c r="K286" s="21"/>
      <x:c r="L286" s="21"/>
      <x:c r="M286" s="22" t="str">
        <x:v>IMG_3857.JPG</x:v>
      </x:c>
    </x:row>
    <x:row r="287" ht="25" customHeight="1">
      <x:c r="A287" s="10" t="str">
        <x:v>XYMM, 450/750 В</x:v>
      </x:c>
      <x:c r="B287" s="11" t="n">
        <x:v>16</x:v>
      </x:c>
      <x:c r="C287" s="23" t="str">
        <x:v>Практичні</x:v>
      </x:c>
      <x:c r="D287" s="24"/>
      <x:c r="E287" s="24"/>
      <x:c r="F287" s="24"/>
      <x:c r="G287" s="14" t="n">
        <x:v>20</x:v>
      </x:c>
      <x:c r="H287" s="14" t="str">
        <x:f>IF(F287="","",ROUND(F287/2,0))</x:f>
      </x:c>
      <x:c r="I287" s="15"/>
      <x:c r="J287" s="15"/>
      <x:c r="K287" s="15"/>
      <x:c r="L287" s="15"/>
      <x:c r="M287" s="17" t="str">
        <x:v>Ще немає заміру</x:v>
      </x:c>
    </x:row>
    <x:row r="288" ht="25" customHeight="1">
      <x:c r="A288" s="10" t="str">
        <x:v>XYMM, 450/750 В</x:v>
      </x:c>
      <x:c r="B288" s="11" t="n">
        <x:v>16</x:v>
      </x:c>
      <x:c r="C288" s="25" t="str">
        <x:v>Прогнозовані</x:v>
      </x:c>
      <x:c r="D288" s="26"/>
      <x:c r="E288" s="26"/>
      <x:c r="F288" s="26"/>
      <x:c r="G288" s="14" t="n">
        <x:v>20</x:v>
      </x:c>
      <x:c r="H288" s="14" t="str">
        <x:f>IF(F288="","",ROUND(F288/2,0))</x:f>
      </x:c>
      <x:c r="I288" s="15"/>
      <x:c r="J288" s="15"/>
      <x:c r="K288" s="15"/>
      <x:c r="L288" s="15" t="n">
        <x:v>7.3</x:v>
      </x:c>
      <x:c r="M288" s="17" t="str">
        <x:v>Матриця + 0,15</x:v>
      </x:c>
    </x:row>
    <x:row r="289" ht="25" customHeight="1">
      <x:c r="A289" s="18" t="str">
        <x:v>YMS-J 5×4/6/10/16 · 0,6/1 кВ</x:v>
      </x:c>
      <x:c r="B289" s="19" t="n">
        <x:v>4</x:v>
      </x:c>
      <x:c r="C289" s="18" t="str">
        <x:v>Довідкові</x:v>
      </x:c>
      <x:c r="D289" s="20"/>
      <x:c r="E289" s="20"/>
      <x:c r="F289" s="20"/>
      <x:c r="G289" s="20" t="n">
        <x:v>20</x:v>
      </x:c>
      <x:c r="H289" s="20" t="str">
        <x:f>IF(F289="","",ROUND(F289/2,0))</x:f>
      </x:c>
      <x:c r="I289" s="21" t="n">
        <x:v>2.65</x:v>
      </x:c>
      <x:c r="J289" s="21" t="n">
        <x:v>4.5</x:v>
      </x:c>
      <x:c r="K289" s="21"/>
      <x:c r="L289" s="21"/>
      <x:c r="M289" s="22" t="str">
        <x:v>IMG_3858.JPG</x:v>
      </x:c>
    </x:row>
    <x:row r="290" ht="25" customHeight="1">
      <x:c r="A290" s="10" t="str">
        <x:v>YMS-J 5×4/6/10/16 · 0,6/1 кВ</x:v>
      </x:c>
      <x:c r="B290" s="11" t="n">
        <x:v>4</x:v>
      </x:c>
      <x:c r="C290" s="23" t="str">
        <x:v>Практичні</x:v>
      </x:c>
      <x:c r="D290" s="24"/>
      <x:c r="E290" s="24"/>
      <x:c r="F290" s="24"/>
      <x:c r="G290" s="14" t="n">
        <x:v>20</x:v>
      </x:c>
      <x:c r="H290" s="14" t="str">
        <x:f>IF(F290="","",ROUND(F290/2,0))</x:f>
      </x:c>
      <x:c r="I290" s="15"/>
      <x:c r="J290" s="15"/>
      <x:c r="K290" s="15"/>
      <x:c r="L290" s="15"/>
      <x:c r="M290" s="17" t="str">
        <x:v>Ще немає заміру</x:v>
      </x:c>
    </x:row>
    <x:row r="291" ht="25" customHeight="1">
      <x:c r="A291" s="10" t="str">
        <x:v>YMS-J 5×4/6/10/16 · 0,6/1 кВ</x:v>
      </x:c>
      <x:c r="B291" s="11" t="n">
        <x:v>4</x:v>
      </x:c>
      <x:c r="C291" s="25" t="str">
        <x:v>Прогнозовані</x:v>
      </x:c>
      <x:c r="D291" s="26"/>
      <x:c r="E291" s="26"/>
      <x:c r="F291" s="26"/>
      <x:c r="G291" s="14" t="n">
        <x:v>20</x:v>
      </x:c>
      <x:c r="H291" s="14" t="str">
        <x:f>IF(F291="","",ROUND(F291/2,0))</x:f>
      </x:c>
      <x:c r="I291" s="15"/>
      <x:c r="J291" s="15"/>
      <x:c r="K291" s="15"/>
      <x:c r="L291" s="15" t="n">
        <x:v>4.65</x:v>
      </x:c>
      <x:c r="M291" s="17" t="str">
        <x:v>Матриця + 0,15</x:v>
      </x:c>
    </x:row>
    <x:row r="292" ht="25" customHeight="1">
      <x:c r="A292" s="18" t="str">
        <x:v>YMS-J 5×4/6/10/16 · 0,6/1 кВ</x:v>
      </x:c>
      <x:c r="B292" s="19" t="n">
        <x:v>6</x:v>
      </x:c>
      <x:c r="C292" s="18" t="str">
        <x:v>Довідкові</x:v>
      </x:c>
      <x:c r="D292" s="20"/>
      <x:c r="E292" s="20"/>
      <x:c r="F292" s="20"/>
      <x:c r="G292" s="20" t="n">
        <x:v>20</x:v>
      </x:c>
      <x:c r="H292" s="20" t="str">
        <x:f>IF(F292="","",ROUND(F292/2,0))</x:f>
      </x:c>
      <x:c r="I292" s="21" t="n">
        <x:v>3.2</x:v>
      </x:c>
      <x:c r="J292" s="21" t="n">
        <x:v>5.05</x:v>
      </x:c>
      <x:c r="K292" s="21"/>
      <x:c r="L292" s="21"/>
      <x:c r="M292" s="22" t="str">
        <x:v>IMG_3858.JPG</x:v>
      </x:c>
    </x:row>
    <x:row r="293" ht="25" customHeight="1">
      <x:c r="A293" s="10" t="str">
        <x:v>YMS-J 5×4/6/10/16 · 0,6/1 кВ</x:v>
      </x:c>
      <x:c r="B293" s="11" t="n">
        <x:v>6</x:v>
      </x:c>
      <x:c r="C293" s="23" t="str">
        <x:v>Практичні</x:v>
      </x:c>
      <x:c r="D293" s="24"/>
      <x:c r="E293" s="24"/>
      <x:c r="F293" s="24"/>
      <x:c r="G293" s="14" t="n">
        <x:v>20</x:v>
      </x:c>
      <x:c r="H293" s="14" t="str">
        <x:f>IF(F293="","",ROUND(F293/2,0))</x:f>
      </x:c>
      <x:c r="I293" s="15"/>
      <x:c r="J293" s="15"/>
      <x:c r="K293" s="15"/>
      <x:c r="L293" s="15"/>
      <x:c r="M293" s="17" t="str">
        <x:v>Ще немає заміру</x:v>
      </x:c>
    </x:row>
    <x:row r="294" ht="25" customHeight="1">
      <x:c r="A294" s="10" t="str">
        <x:v>YMS-J 5×4/6/10/16 · 0,6/1 кВ</x:v>
      </x:c>
      <x:c r="B294" s="11" t="n">
        <x:v>6</x:v>
      </x:c>
      <x:c r="C294" s="25" t="str">
        <x:v>Прогнозовані</x:v>
      </x:c>
      <x:c r="D294" s="26"/>
      <x:c r="E294" s="26"/>
      <x:c r="F294" s="26"/>
      <x:c r="G294" s="14" t="n">
        <x:v>20</x:v>
      </x:c>
      <x:c r="H294" s="14" t="str">
        <x:f>IF(F294="","",ROUND(F294/2,0))</x:f>
      </x:c>
      <x:c r="I294" s="15"/>
      <x:c r="J294" s="15"/>
      <x:c r="K294" s="15"/>
      <x:c r="L294" s="15" t="n">
        <x:v>5.2</x:v>
      </x:c>
      <x:c r="M294" s="17" t="str">
        <x:v>Матриця + 0,15</x:v>
      </x:c>
    </x:row>
    <x:row r="295" ht="25" customHeight="1">
      <x:c r="A295" s="18" t="str">
        <x:v>YMS-J 5×4/6/10/16 · 0,6/1 кВ</x:v>
      </x:c>
      <x:c r="B295" s="19" t="n">
        <x:v>10</x:v>
      </x:c>
      <x:c r="C295" s="18" t="str">
        <x:v>Довідкові</x:v>
      </x:c>
      <x:c r="D295" s="20"/>
      <x:c r="E295" s="20"/>
      <x:c r="F295" s="20"/>
      <x:c r="G295" s="20" t="n">
        <x:v>20</x:v>
      </x:c>
      <x:c r="H295" s="20" t="str">
        <x:f>IF(F295="","",ROUND(F295/2,0))</x:f>
      </x:c>
      <x:c r="I295" s="21"/>
      <x:c r="J295" s="21"/>
      <x:c r="K295" s="21"/>
      <x:c r="L295" s="21"/>
      <x:c r="M295" s="22" t="str">
        <x:v>IMG_3858.JPG</x:v>
      </x:c>
    </x:row>
    <x:row r="296" ht="25" customHeight="1">
      <x:c r="A296" s="10" t="str">
        <x:v>YMS-J 5×4/6/10/16 · 0,6/1 кВ</x:v>
      </x:c>
      <x:c r="B296" s="11" t="n">
        <x:v>10</x:v>
      </x:c>
      <x:c r="C296" s="23" t="str">
        <x:v>Практичні</x:v>
      </x:c>
      <x:c r="D296" s="24"/>
      <x:c r="E296" s="24"/>
      <x:c r="F296" s="24"/>
      <x:c r="G296" s="14" t="n">
        <x:v>20</x:v>
      </x:c>
      <x:c r="H296" s="14" t="str">
        <x:f>IF(F296="","",ROUND(F296/2,0))</x:f>
      </x:c>
      <x:c r="I296" s="15"/>
      <x:c r="J296" s="15"/>
      <x:c r="K296" s="15"/>
      <x:c r="L296" s="15"/>
      <x:c r="M296" s="17" t="str">
        <x:v>Ще немає заміру</x:v>
      </x:c>
    </x:row>
    <x:row r="297" ht="25" customHeight="1">
      <x:c r="A297" s="10" t="str">
        <x:v>YMS-J 5×4/6/10/16 · 0,6/1 кВ</x:v>
      </x:c>
      <x:c r="B297" s="11" t="n">
        <x:v>10</x:v>
      </x:c>
      <x:c r="C297" s="25" t="str">
        <x:v>Прогнозовані</x:v>
      </x:c>
      <x:c r="D297" s="26"/>
      <x:c r="E297" s="26"/>
      <x:c r="F297" s="26"/>
      <x:c r="G297" s="14" t="n">
        <x:v>20</x:v>
      </x:c>
      <x:c r="H297" s="14" t="str">
        <x:f>IF(F297="","",ROUND(F297/2,0))</x:f>
      </x:c>
      <x:c r="I297" s="15"/>
      <x:c r="J297" s="15"/>
      <x:c r="K297" s="15"/>
      <x:c r="L297" s="15"/>
      <x:c r="M297" s="17" t="str">
        <x:v>Недостатньо даних</x:v>
      </x:c>
    </x:row>
    <x:row r="298" ht="25" customHeight="1">
      <x:c r="A298" s="18" t="str">
        <x:v>YMS-J 5×4/6/10/16 · 0,6/1 кВ</x:v>
      </x:c>
      <x:c r="B298" s="19" t="n">
        <x:v>16</x:v>
      </x:c>
      <x:c r="C298" s="18" t="str">
        <x:v>Довідкові</x:v>
      </x:c>
      <x:c r="D298" s="20"/>
      <x:c r="E298" s="20"/>
      <x:c r="F298" s="20"/>
      <x:c r="G298" s="20" t="n">
        <x:v>20</x:v>
      </x:c>
      <x:c r="H298" s="20" t="str">
        <x:f>IF(F298="","",ROUND(F298/2,0))</x:f>
      </x:c>
      <x:c r="I298" s="21"/>
      <x:c r="J298" s="21"/>
      <x:c r="K298" s="21"/>
      <x:c r="L298" s="21"/>
      <x:c r="M298" s="22" t="str">
        <x:v>IMG_3858.JPG</x:v>
      </x:c>
    </x:row>
    <x:row r="299" ht="25" customHeight="1">
      <x:c r="A299" s="10" t="str">
        <x:v>YMS-J 5×4/6/10/16 · 0,6/1 кВ</x:v>
      </x:c>
      <x:c r="B299" s="11" t="n">
        <x:v>16</x:v>
      </x:c>
      <x:c r="C299" s="23" t="str">
        <x:v>Практичні</x:v>
      </x:c>
      <x:c r="D299" s="24"/>
      <x:c r="E299" s="24"/>
      <x:c r="F299" s="24"/>
      <x:c r="G299" s="14" t="n">
        <x:v>20</x:v>
      </x:c>
      <x:c r="H299" s="14" t="str">
        <x:f>IF(F299="","",ROUND(F299/2,0))</x:f>
      </x:c>
      <x:c r="I299" s="15"/>
      <x:c r="J299" s="15"/>
      <x:c r="K299" s="15"/>
      <x:c r="L299" s="15"/>
      <x:c r="M299" s="17" t="str">
        <x:v>Ще немає заміру</x:v>
      </x:c>
    </x:row>
    <x:row r="300" ht="25" customHeight="1">
      <x:c r="A300" s="10" t="str">
        <x:v>YMS-J 5×4/6/10/16 · 0,6/1 кВ</x:v>
      </x:c>
      <x:c r="B300" s="11" t="n">
        <x:v>16</x:v>
      </x:c>
      <x:c r="C300" s="25" t="str">
        <x:v>Прогнозовані</x:v>
      </x:c>
      <x:c r="D300" s="26"/>
      <x:c r="E300" s="26"/>
      <x:c r="F300" s="26"/>
      <x:c r="G300" s="14" t="n">
        <x:v>20</x:v>
      </x:c>
      <x:c r="H300" s="14" t="str">
        <x:f>IF(F300="","",ROUND(F300/2,0))</x:f>
      </x:c>
      <x:c r="I300" s="15"/>
      <x:c r="J300" s="15"/>
      <x:c r="K300" s="15"/>
      <x:c r="L300" s="15"/>
      <x:c r="M300" s="17" t="str">
        <x:v>Недостатньо даних</x:v>
      </x:c>
    </x:row>
    <x:row r="301" ht="25" customHeight="1">
      <x:c r="A301" s="18" t="str">
        <x:v>CYKYL-F · карта конструкції</x:v>
      </x:c>
      <x:c r="B301" s="19" t="n">
        <x:v>0.75</x:v>
      </x:c>
      <x:c r="C301" s="18" t="str">
        <x:v>Довідкові</x:v>
      </x:c>
      <x:c r="D301" s="20"/>
      <x:c r="E301" s="20"/>
      <x:c r="F301" s="20" t="n">
        <x:v>400</x:v>
      </x:c>
      <x:c r="G301" s="20" t="n">
        <x:v>20</x:v>
      </x:c>
      <x:c r="H301" s="20" t="n">
        <x:f>IF(F301="","",ROUND(F301/2,0))</x:f>
        <x:v>200</x:v>
      </x:c>
      <x:c r="I301" s="21"/>
      <x:c r="J301" s="21"/>
      <x:c r="K301" s="21"/>
      <x:c r="L301" s="21"/>
      <x:c r="M301" s="22" t="str">
        <x:v>IMG_3859.JPG</x:v>
      </x:c>
    </x:row>
    <x:row r="302" ht="25" customHeight="1">
      <x:c r="A302" s="10" t="str">
        <x:v>CYKYL-F · карта конструкції</x:v>
      </x:c>
      <x:c r="B302" s="11" t="n">
        <x:v>0.75</x:v>
      </x:c>
      <x:c r="C302" s="23" t="str">
        <x:v>Практичні</x:v>
      </x:c>
      <x:c r="D302" s="24"/>
      <x:c r="E302" s="24"/>
      <x:c r="F302" s="24"/>
      <x:c r="G302" s="14" t="n">
        <x:v>20</x:v>
      </x:c>
      <x:c r="H302" s="14" t="str">
        <x:f>IF(F302="","",ROUND(F302/2,0))</x:f>
      </x:c>
      <x:c r="I302" s="15"/>
      <x:c r="J302" s="15"/>
      <x:c r="K302" s="15"/>
      <x:c r="L302" s="15"/>
      <x:c r="M302" s="17" t="str">
        <x:v>Ще немає заміру</x:v>
      </x:c>
    </x:row>
    <x:row r="303" ht="25" customHeight="1">
      <x:c r="A303" s="10" t="str">
        <x:v>CYKYL-F · карта конструкції</x:v>
      </x:c>
      <x:c r="B303" s="11" t="n">
        <x:v>0.75</x:v>
      </x:c>
      <x:c r="C303" s="25" t="str">
        <x:v>Прогнозовані</x:v>
      </x:c>
      <x:c r="D303" s="26"/>
      <x:c r="E303" s="26"/>
      <x:c r="F303" s="26"/>
      <x:c r="G303" s="14" t="n">
        <x:v>20</x:v>
      </x:c>
      <x:c r="H303" s="14" t="str">
        <x:f>IF(F303="","",ROUND(F303/2,0))</x:f>
      </x:c>
      <x:c r="I303" s="15"/>
      <x:c r="J303" s="15"/>
      <x:c r="K303" s="15"/>
      <x:c r="L303" s="15"/>
      <x:c r="M303" s="17" t="str">
        <x:v>Недостатньо даних</x:v>
      </x:c>
    </x:row>
    <x:row r="304" ht="25" customHeight="1">
      <x:c r="A304" s="18" t="str">
        <x:v>CYKYL-F · карта конструкції</x:v>
      </x:c>
      <x:c r="B304" s="19" t="n">
        <x:v>1</x:v>
      </x:c>
      <x:c r="C304" s="18" t="str">
        <x:v>Довідкові</x:v>
      </x:c>
      <x:c r="D304" s="20"/>
      <x:c r="E304" s="20"/>
      <x:c r="F304" s="20" t="n">
        <x:v>400</x:v>
      </x:c>
      <x:c r="G304" s="20" t="n">
        <x:v>20</x:v>
      </x:c>
      <x:c r="H304" s="20" t="n">
        <x:f>IF(F304="","",ROUND(F304/2,0))</x:f>
        <x:v>200</x:v>
      </x:c>
      <x:c r="I304" s="21"/>
      <x:c r="J304" s="21"/>
      <x:c r="K304" s="21"/>
      <x:c r="L304" s="21"/>
      <x:c r="M304" s="22" t="str">
        <x:v>IMG_3859.JPG</x:v>
      </x:c>
    </x:row>
    <x:row r="305" ht="25" customHeight="1">
      <x:c r="A305" s="10" t="str">
        <x:v>CYKYL-F · карта конструкції</x:v>
      </x:c>
      <x:c r="B305" s="11" t="n">
        <x:v>1</x:v>
      </x:c>
      <x:c r="C305" s="23" t="str">
        <x:v>Практичні</x:v>
      </x:c>
      <x:c r="D305" s="24"/>
      <x:c r="E305" s="24"/>
      <x:c r="F305" s="24"/>
      <x:c r="G305" s="14" t="n">
        <x:v>20</x:v>
      </x:c>
      <x:c r="H305" s="14" t="str">
        <x:f>IF(F305="","",ROUND(F305/2,0))</x:f>
      </x:c>
      <x:c r="I305" s="15"/>
      <x:c r="J305" s="15"/>
      <x:c r="K305" s="15"/>
      <x:c r="L305" s="15"/>
      <x:c r="M305" s="17" t="str">
        <x:v>Ще немає заміру</x:v>
      </x:c>
    </x:row>
    <x:row r="306" ht="25" customHeight="1">
      <x:c r="A306" s="10" t="str">
        <x:v>CYKYL-F · карта конструкції</x:v>
      </x:c>
      <x:c r="B306" s="11" t="n">
        <x:v>1</x:v>
      </x:c>
      <x:c r="C306" s="25" t="str">
        <x:v>Прогнозовані</x:v>
      </x:c>
      <x:c r="D306" s="26"/>
      <x:c r="E306" s="26"/>
      <x:c r="F306" s="26"/>
      <x:c r="G306" s="14" t="n">
        <x:v>20</x:v>
      </x:c>
      <x:c r="H306" s="14" t="str">
        <x:f>IF(F306="","",ROUND(F306/2,0))</x:f>
      </x:c>
      <x:c r="I306" s="15"/>
      <x:c r="J306" s="15"/>
      <x:c r="K306" s="15"/>
      <x:c r="L306" s="15"/>
      <x:c r="M306" s="17" t="str">
        <x:v>Недостатньо даних</x:v>
      </x:c>
    </x:row>
    <x:row r="307" ht="25" customHeight="1">
      <x:c r="A307" s="18" t="str">
        <x:v>CYKYL-F · карта конструкції</x:v>
      </x:c>
      <x:c r="B307" s="19" t="n">
        <x:v>1.5</x:v>
      </x:c>
      <x:c r="C307" s="18" t="str">
        <x:v>Довідкові</x:v>
      </x:c>
      <x:c r="D307" s="20"/>
      <x:c r="E307" s="20"/>
      <x:c r="F307" s="20" t="n">
        <x:v>350</x:v>
      </x:c>
      <x:c r="G307" s="20" t="n">
        <x:v>20</x:v>
      </x:c>
      <x:c r="H307" s="20" t="n">
        <x:f>IF(F307="","",ROUND(F307/2,0))</x:f>
        <x:v>175</x:v>
      </x:c>
      <x:c r="I307" s="21"/>
      <x:c r="J307" s="21"/>
      <x:c r="K307" s="21"/>
      <x:c r="L307" s="21"/>
      <x:c r="M307" s="22" t="str">
        <x:v>IMG_3859.JPG</x:v>
      </x:c>
    </x:row>
    <x:row r="308" ht="25" customHeight="1">
      <x:c r="A308" s="10" t="str">
        <x:v>CYKYL-F · карта конструкції</x:v>
      </x:c>
      <x:c r="B308" s="11" t="n">
        <x:v>1.5</x:v>
      </x:c>
      <x:c r="C308" s="23" t="str">
        <x:v>Практичні</x:v>
      </x:c>
      <x:c r="D308" s="24"/>
      <x:c r="E308" s="24"/>
      <x:c r="F308" s="24"/>
      <x:c r="G308" s="14" t="n">
        <x:v>20</x:v>
      </x:c>
      <x:c r="H308" s="14" t="str">
        <x:f>IF(F308="","",ROUND(F308/2,0))</x:f>
      </x:c>
      <x:c r="I308" s="15"/>
      <x:c r="J308" s="15"/>
      <x:c r="K308" s="15"/>
      <x:c r="L308" s="15"/>
      <x:c r="M308" s="17" t="str">
        <x:v>Ще немає заміру</x:v>
      </x:c>
    </x:row>
    <x:row r="309" ht="25" customHeight="1">
      <x:c r="A309" s="10" t="str">
        <x:v>CYKYL-F · карта конструкції</x:v>
      </x:c>
      <x:c r="B309" s="11" t="n">
        <x:v>1.5</x:v>
      </x:c>
      <x:c r="C309" s="25" t="str">
        <x:v>Прогнозовані</x:v>
      </x:c>
      <x:c r="D309" s="26"/>
      <x:c r="E309" s="26"/>
      <x:c r="F309" s="26"/>
      <x:c r="G309" s="14" t="n">
        <x:v>20</x:v>
      </x:c>
      <x:c r="H309" s="14" t="str">
        <x:f>IF(F309="","",ROUND(F309/2,0))</x:f>
      </x:c>
      <x:c r="I309" s="15"/>
      <x:c r="J309" s="15"/>
      <x:c r="K309" s="15"/>
      <x:c r="L309" s="15"/>
      <x:c r="M309" s="17" t="str">
        <x:v>Недостатньо даних</x:v>
      </x:c>
    </x:row>
    <x:row r="310" ht="25" customHeight="1">
      <x:c r="A310" s="18" t="str">
        <x:v>CYKYL-F · карта конструкції</x:v>
      </x:c>
      <x:c r="B310" s="19" t="n">
        <x:v>2.5</x:v>
      </x:c>
      <x:c r="C310" s="18" t="str">
        <x:v>Довідкові</x:v>
      </x:c>
      <x:c r="D310" s="20"/>
      <x:c r="E310" s="20"/>
      <x:c r="F310" s="20" t="n">
        <x:v>280</x:v>
      </x:c>
      <x:c r="G310" s="20" t="n">
        <x:v>20</x:v>
      </x:c>
      <x:c r="H310" s="20" t="n">
        <x:f>IF(F310="","",ROUND(F310/2,0))</x:f>
        <x:v>140</x:v>
      </x:c>
      <x:c r="I310" s="21"/>
      <x:c r="J310" s="21"/>
      <x:c r="K310" s="21"/>
      <x:c r="L310" s="21"/>
      <x:c r="M310" s="22" t="str">
        <x:v>IMG_3859.JPG</x:v>
      </x:c>
    </x:row>
    <x:row r="311" ht="25" customHeight="1">
      <x:c r="A311" s="10" t="str">
        <x:v>CYKYL-F · карта конструкції</x:v>
      </x:c>
      <x:c r="B311" s="11" t="n">
        <x:v>2.5</x:v>
      </x:c>
      <x:c r="C311" s="23" t="str">
        <x:v>Практичні</x:v>
      </x:c>
      <x:c r="D311" s="24"/>
      <x:c r="E311" s="24"/>
      <x:c r="F311" s="24"/>
      <x:c r="G311" s="14" t="n">
        <x:v>20</x:v>
      </x:c>
      <x:c r="H311" s="14" t="str">
        <x:f>IF(F311="","",ROUND(F311/2,0))</x:f>
      </x:c>
      <x:c r="I311" s="15"/>
      <x:c r="J311" s="15"/>
      <x:c r="K311" s="15"/>
      <x:c r="L311" s="15"/>
      <x:c r="M311" s="17" t="str">
        <x:v>Ще немає заміру</x:v>
      </x:c>
    </x:row>
    <x:row r="312" ht="25" customHeight="1">
      <x:c r="A312" s="10" t="str">
        <x:v>CYKYL-F · карта конструкції</x:v>
      </x:c>
      <x:c r="B312" s="11" t="n">
        <x:v>2.5</x:v>
      </x:c>
      <x:c r="C312" s="25" t="str">
        <x:v>Прогнозовані</x:v>
      </x:c>
      <x:c r="D312" s="26"/>
      <x:c r="E312" s="26"/>
      <x:c r="F312" s="26"/>
      <x:c r="G312" s="14" t="n">
        <x:v>20</x:v>
      </x:c>
      <x:c r="H312" s="14" t="str">
        <x:f>IF(F312="","",ROUND(F312/2,0))</x:f>
      </x:c>
      <x:c r="I312" s="15"/>
      <x:c r="J312" s="15"/>
      <x:c r="K312" s="15"/>
      <x:c r="L312" s="15"/>
      <x:c r="M312" s="17" t="str">
        <x:v>Недостатньо даних</x:v>
      </x:c>
    </x:row>
    <x:row r="313" ht="25" customHeight="1">
      <x:c r="A313" s="18" t="str">
        <x:v>CYKYL-F · карта конструкції</x:v>
      </x:c>
      <x:c r="B313" s="19" t="n">
        <x:v>4</x:v>
      </x:c>
      <x:c r="C313" s="18" t="str">
        <x:v>Довідкові</x:v>
      </x:c>
      <x:c r="D313" s="20"/>
      <x:c r="E313" s="20"/>
      <x:c r="F313" s="20" t="n">
        <x:v>250</x:v>
      </x:c>
      <x:c r="G313" s="20" t="n">
        <x:v>20</x:v>
      </x:c>
      <x:c r="H313" s="20" t="n">
        <x:f>IF(F313="","",ROUND(F313/2,0))</x:f>
        <x:v>125</x:v>
      </x:c>
      <x:c r="I313" s="21"/>
      <x:c r="J313" s="21"/>
      <x:c r="K313" s="21"/>
      <x:c r="L313" s="21"/>
      <x:c r="M313" s="22" t="str">
        <x:v>IMG_3859.JPG</x:v>
      </x:c>
    </x:row>
    <x:row r="314" ht="25" customHeight="1">
      <x:c r="A314" s="10" t="str">
        <x:v>CYKYL-F · карта конструкції</x:v>
      </x:c>
      <x:c r="B314" s="11" t="n">
        <x:v>4</x:v>
      </x:c>
      <x:c r="C314" s="23" t="str">
        <x:v>Практичні</x:v>
      </x:c>
      <x:c r="D314" s="24"/>
      <x:c r="E314" s="24"/>
      <x:c r="F314" s="24"/>
      <x:c r="G314" s="14" t="n">
        <x:v>20</x:v>
      </x:c>
      <x:c r="H314" s="14" t="str">
        <x:f>IF(F314="","",ROUND(F314/2,0))</x:f>
      </x:c>
      <x:c r="I314" s="15"/>
      <x:c r="J314" s="15"/>
      <x:c r="K314" s="15"/>
      <x:c r="L314" s="15"/>
      <x:c r="M314" s="17" t="str">
        <x:v>Ще немає заміру</x:v>
      </x:c>
    </x:row>
    <x:row r="315" ht="25" customHeight="1">
      <x:c r="A315" s="10" t="str">
        <x:v>CYKYL-F · карта конструкції</x:v>
      </x:c>
      <x:c r="B315" s="11" t="n">
        <x:v>4</x:v>
      </x:c>
      <x:c r="C315" s="25" t="str">
        <x:v>Прогнозовані</x:v>
      </x:c>
      <x:c r="D315" s="26"/>
      <x:c r="E315" s="26"/>
      <x:c r="F315" s="26"/>
      <x:c r="G315" s="14" t="n">
        <x:v>20</x:v>
      </x:c>
      <x:c r="H315" s="14" t="str">
        <x:f>IF(F315="","",ROUND(F315/2,0))</x:f>
      </x:c>
      <x:c r="I315" s="15"/>
      <x:c r="J315" s="15"/>
      <x:c r="K315" s="15"/>
      <x:c r="L315" s="15"/>
      <x:c r="M315" s="17" t="str">
        <x:v>Недостатньо даних</x:v>
      </x:c>
    </x:row>
    <x:row r="316" ht="25" customHeight="1">
      <x:c r="A316" s="18" t="str">
        <x:v>CYKYL-F · карта конструкції</x:v>
      </x:c>
      <x:c r="B316" s="19" t="n">
        <x:v>6</x:v>
      </x:c>
      <x:c r="C316" s="18" t="str">
        <x:v>Довідкові</x:v>
      </x:c>
      <x:c r="D316" s="20"/>
      <x:c r="E316" s="20"/>
      <x:c r="F316" s="20" t="n">
        <x:v>200</x:v>
      </x:c>
      <x:c r="G316" s="20" t="n">
        <x:v>20</x:v>
      </x:c>
      <x:c r="H316" s="20" t="n">
        <x:f>IF(F316="","",ROUND(F316/2,0))</x:f>
        <x:v>100</x:v>
      </x:c>
      <x:c r="I316" s="21"/>
      <x:c r="J316" s="21"/>
      <x:c r="K316" s="21"/>
      <x:c r="L316" s="21"/>
      <x:c r="M316" s="22" t="str">
        <x:v>IMG_3859.JPG</x:v>
      </x:c>
    </x:row>
    <x:row r="317" ht="25" customHeight="1">
      <x:c r="A317" s="10" t="str">
        <x:v>CYKYL-F · карта конструкції</x:v>
      </x:c>
      <x:c r="B317" s="11" t="n">
        <x:v>6</x:v>
      </x:c>
      <x:c r="C317" s="23" t="str">
        <x:v>Практичні</x:v>
      </x:c>
      <x:c r="D317" s="24"/>
      <x:c r="E317" s="24"/>
      <x:c r="F317" s="24"/>
      <x:c r="G317" s="14" t="n">
        <x:v>20</x:v>
      </x:c>
      <x:c r="H317" s="14" t="str">
        <x:f>IF(F317="","",ROUND(F317/2,0))</x:f>
      </x:c>
      <x:c r="I317" s="15"/>
      <x:c r="J317" s="15"/>
      <x:c r="K317" s="15"/>
      <x:c r="L317" s="15"/>
      <x:c r="M317" s="17" t="str">
        <x:v>Ще немає заміру</x:v>
      </x:c>
    </x:row>
    <x:row r="318" ht="25" customHeight="1">
      <x:c r="A318" s="10" t="str">
        <x:v>CYKYL-F · карта конструкції</x:v>
      </x:c>
      <x:c r="B318" s="11" t="n">
        <x:v>6</x:v>
      </x:c>
      <x:c r="C318" s="25" t="str">
        <x:v>Прогнозовані</x:v>
      </x:c>
      <x:c r="D318" s="26"/>
      <x:c r="E318" s="26"/>
      <x:c r="F318" s="26"/>
      <x:c r="G318" s="14" t="n">
        <x:v>20</x:v>
      </x:c>
      <x:c r="H318" s="14" t="str">
        <x:f>IF(F318="","",ROUND(F318/2,0))</x:f>
      </x:c>
      <x:c r="I318" s="15"/>
      <x:c r="J318" s="15"/>
      <x:c r="K318" s="15"/>
      <x:c r="L318" s="15"/>
      <x:c r="M318" s="17" t="str">
        <x:v>Недостатньо даних</x:v>
      </x:c>
    </x:row>
    <x:row r="319" ht="25" customHeight="1">
      <x:c r="A319" s="18" t="str">
        <x:v>H05VV-F · частково заповнена карта</x:v>
      </x:c>
      <x:c r="B319" s="19" t="n">
        <x:v>0.75</x:v>
      </x:c>
      <x:c r="C319" s="18" t="str">
        <x:v>Довідкові</x:v>
      </x:c>
      <x:c r="D319" s="20"/>
      <x:c r="E319" s="20"/>
      <x:c r="F319" s="20" t="n">
        <x:v>400</x:v>
      </x:c>
      <x:c r="G319" s="20" t="n">
        <x:v>20</x:v>
      </x:c>
      <x:c r="H319" s="20" t="n">
        <x:f>IF(F319="","",ROUND(F319/2,0))</x:f>
        <x:v>200</x:v>
      </x:c>
      <x:c r="I319" s="21"/>
      <x:c r="J319" s="21"/>
      <x:c r="K319" s="21"/>
      <x:c r="L319" s="21"/>
      <x:c r="M319" s="22" t="str">
        <x:v>IMG_3860.JPG</x:v>
      </x:c>
    </x:row>
    <x:row r="320" ht="25" customHeight="1">
      <x:c r="A320" s="10" t="str">
        <x:v>H05VV-F · частково заповнена карта</x:v>
      </x:c>
      <x:c r="B320" s="11" t="n">
        <x:v>0.75</x:v>
      </x:c>
      <x:c r="C320" s="23" t="str">
        <x:v>Практичні</x:v>
      </x:c>
      <x:c r="D320" s="24"/>
      <x:c r="E320" s="24"/>
      <x:c r="F320" s="24"/>
      <x:c r="G320" s="14" t="n">
        <x:v>20</x:v>
      </x:c>
      <x:c r="H320" s="14" t="str">
        <x:f>IF(F320="","",ROUND(F320/2,0))</x:f>
      </x:c>
      <x:c r="I320" s="15"/>
      <x:c r="J320" s="15"/>
      <x:c r="K320" s="15"/>
      <x:c r="L320" s="15"/>
      <x:c r="M320" s="17" t="str">
        <x:v>Ще немає заміру</x:v>
      </x:c>
    </x:row>
    <x:row r="321" ht="25" customHeight="1">
      <x:c r="A321" s="10" t="str">
        <x:v>H05VV-F · частково заповнена карта</x:v>
      </x:c>
      <x:c r="B321" s="11" t="n">
        <x:v>0.75</x:v>
      </x:c>
      <x:c r="C321" s="25" t="str">
        <x:v>Прогнозовані</x:v>
      </x:c>
      <x:c r="D321" s="26"/>
      <x:c r="E321" s="26"/>
      <x:c r="F321" s="26"/>
      <x:c r="G321" s="14" t="n">
        <x:v>20</x:v>
      </x:c>
      <x:c r="H321" s="14" t="str">
        <x:f>IF(F321="","",ROUND(F321/2,0))</x:f>
      </x:c>
      <x:c r="I321" s="15"/>
      <x:c r="J321" s="15"/>
      <x:c r="K321" s="15"/>
      <x:c r="L321" s="15"/>
      <x:c r="M321" s="17" t="str">
        <x:v>Недостатньо даних</x:v>
      </x:c>
    </x:row>
    <x:row r="322" ht="25" customHeight="1">
      <x:c r="A322" s="18" t="str">
        <x:v>H05VV-F · частково заповнена карта</x:v>
      </x:c>
      <x:c r="B322" s="19" t="n">
        <x:v>1</x:v>
      </x:c>
      <x:c r="C322" s="18" t="str">
        <x:v>Довідкові</x:v>
      </x:c>
      <x:c r="D322" s="20"/>
      <x:c r="E322" s="20"/>
      <x:c r="F322" s="20" t="n">
        <x:v>400</x:v>
      </x:c>
      <x:c r="G322" s="20" t="n">
        <x:v>20</x:v>
      </x:c>
      <x:c r="H322" s="20" t="n">
        <x:f>IF(F322="","",ROUND(F322/2,0))</x:f>
        <x:v>200</x:v>
      </x:c>
      <x:c r="I322" s="21"/>
      <x:c r="J322" s="21"/>
      <x:c r="K322" s="21"/>
      <x:c r="L322" s="21"/>
      <x:c r="M322" s="22" t="str">
        <x:v>IMG_3860.JPG</x:v>
      </x:c>
    </x:row>
    <x:row r="323" ht="25" customHeight="1">
      <x:c r="A323" s="10" t="str">
        <x:v>H05VV-F · частково заповнена карта</x:v>
      </x:c>
      <x:c r="B323" s="11" t="n">
        <x:v>1</x:v>
      </x:c>
      <x:c r="C323" s="23" t="str">
        <x:v>Практичні</x:v>
      </x:c>
      <x:c r="D323" s="24"/>
      <x:c r="E323" s="24"/>
      <x:c r="F323" s="24"/>
      <x:c r="G323" s="14" t="n">
        <x:v>20</x:v>
      </x:c>
      <x:c r="H323" s="14" t="str">
        <x:f>IF(F323="","",ROUND(F323/2,0))</x:f>
      </x:c>
      <x:c r="I323" s="15"/>
      <x:c r="J323" s="15"/>
      <x:c r="K323" s="15"/>
      <x:c r="L323" s="15"/>
      <x:c r="M323" s="17" t="str">
        <x:v>Ще немає заміру</x:v>
      </x:c>
    </x:row>
    <x:row r="324" ht="25" customHeight="1">
      <x:c r="A324" s="10" t="str">
        <x:v>H05VV-F · частково заповнена карта</x:v>
      </x:c>
      <x:c r="B324" s="11" t="n">
        <x:v>1</x:v>
      </x:c>
      <x:c r="C324" s="25" t="str">
        <x:v>Прогнозовані</x:v>
      </x:c>
      <x:c r="D324" s="26"/>
      <x:c r="E324" s="26"/>
      <x:c r="F324" s="26"/>
      <x:c r="G324" s="14" t="n">
        <x:v>20</x:v>
      </x:c>
      <x:c r="H324" s="14" t="str">
        <x:f>IF(F324="","",ROUND(F324/2,0))</x:f>
      </x:c>
      <x:c r="I324" s="15"/>
      <x:c r="J324" s="15"/>
      <x:c r="K324" s="15"/>
      <x:c r="L324" s="15"/>
      <x:c r="M324" s="17" t="str">
        <x:v>Недостатньо даних</x:v>
      </x:c>
    </x:row>
    <x:row r="325" ht="25" customHeight="1">
      <x:c r="A325" s="18" t="str">
        <x:v>H05VV-F · частково заповнена карта</x:v>
      </x:c>
      <x:c r="B325" s="19" t="n">
        <x:v>1.5</x:v>
      </x:c>
      <x:c r="C325" s="18" t="str">
        <x:v>Довідкові</x:v>
      </x:c>
      <x:c r="D325" s="20"/>
      <x:c r="E325" s="20"/>
      <x:c r="F325" s="20" t="n">
        <x:v>350</x:v>
      </x:c>
      <x:c r="G325" s="20" t="n">
        <x:v>20</x:v>
      </x:c>
      <x:c r="H325" s="20" t="n">
        <x:f>IF(F325="","",ROUND(F325/2,0))</x:f>
        <x:v>175</x:v>
      </x:c>
      <x:c r="I325" s="21" t="n">
        <x:v>1.55</x:v>
      </x:c>
      <x:c r="J325" s="21" t="n">
        <x:v>2.7</x:v>
      </x:c>
      <x:c r="K325" s="21"/>
      <x:c r="L325" s="21"/>
      <x:c r="M325" s="22" t="str">
        <x:v>IMG_3860.JPG</x:v>
      </x:c>
    </x:row>
    <x:row r="326" ht="25" customHeight="1">
      <x:c r="A326" s="10" t="str">
        <x:v>H05VV-F · частково заповнена карта</x:v>
      </x:c>
      <x:c r="B326" s="11" t="n">
        <x:v>1.5</x:v>
      </x:c>
      <x:c r="C326" s="23" t="str">
        <x:v>Практичні</x:v>
      </x:c>
      <x:c r="D326" s="24"/>
      <x:c r="E326" s="24"/>
      <x:c r="F326" s="24"/>
      <x:c r="G326" s="14" t="n">
        <x:v>20</x:v>
      </x:c>
      <x:c r="H326" s="14" t="str">
        <x:f>IF(F326="","",ROUND(F326/2,0))</x:f>
      </x:c>
      <x:c r="I326" s="15"/>
      <x:c r="J326" s="15"/>
      <x:c r="K326" s="15"/>
      <x:c r="L326" s="15"/>
      <x:c r="M326" s="17" t="str">
        <x:v>Ще немає заміру</x:v>
      </x:c>
    </x:row>
    <x:row r="327" ht="25" customHeight="1">
      <x:c r="A327" s="10" t="str">
        <x:v>H05VV-F · частково заповнена карта</x:v>
      </x:c>
      <x:c r="B327" s="11" t="n">
        <x:v>1.5</x:v>
      </x:c>
      <x:c r="C327" s="25" t="str">
        <x:v>Прогнозовані</x:v>
      </x:c>
      <x:c r="D327" s="26"/>
      <x:c r="E327" s="26"/>
      <x:c r="F327" s="26"/>
      <x:c r="G327" s="14" t="n">
        <x:v>20</x:v>
      </x:c>
      <x:c r="H327" s="14" t="str">
        <x:f>IF(F327="","",ROUND(F327/2,0))</x:f>
      </x:c>
      <x:c r="I327" s="15"/>
      <x:c r="J327" s="15"/>
      <x:c r="K327" s="15"/>
      <x:c r="L327" s="15" t="n">
        <x:v>2.85</x:v>
      </x:c>
      <x:c r="M327" s="17" t="str">
        <x:v>Матриця + 0,15</x:v>
      </x:c>
    </x:row>
    <x:row r="328" ht="25" customHeight="1">
      <x:c r="A328" s="18" t="str">
        <x:v>H05VV-F · частково заповнена карта</x:v>
      </x:c>
      <x:c r="B328" s="19" t="n">
        <x:v>2.5</x:v>
      </x:c>
      <x:c r="C328" s="18" t="str">
        <x:v>Довідкові</x:v>
      </x:c>
      <x:c r="D328" s="20"/>
      <x:c r="E328" s="20"/>
      <x:c r="F328" s="20" t="n">
        <x:v>280</x:v>
      </x:c>
      <x:c r="G328" s="20" t="n">
        <x:v>20</x:v>
      </x:c>
      <x:c r="H328" s="20" t="n">
        <x:f>IF(F328="","",ROUND(F328/2,0))</x:f>
        <x:v>140</x:v>
      </x:c>
      <x:c r="I328" s="21"/>
      <x:c r="J328" s="21"/>
      <x:c r="K328" s="21"/>
      <x:c r="L328" s="21"/>
      <x:c r="M328" s="22" t="str">
        <x:v>IMG_3860.JPG</x:v>
      </x:c>
    </x:row>
    <x:row r="329" ht="25" customHeight="1">
      <x:c r="A329" s="10" t="str">
        <x:v>H05VV-F · частково заповнена карта</x:v>
      </x:c>
      <x:c r="B329" s="11" t="n">
        <x:v>2.5</x:v>
      </x:c>
      <x:c r="C329" s="23" t="str">
        <x:v>Практичні</x:v>
      </x:c>
      <x:c r="D329" s="24"/>
      <x:c r="E329" s="24"/>
      <x:c r="F329" s="24"/>
      <x:c r="G329" s="14" t="n">
        <x:v>20</x:v>
      </x:c>
      <x:c r="H329" s="14" t="str">
        <x:f>IF(F329="","",ROUND(F329/2,0))</x:f>
      </x:c>
      <x:c r="I329" s="15"/>
      <x:c r="J329" s="15"/>
      <x:c r="K329" s="15"/>
      <x:c r="L329" s="15"/>
      <x:c r="M329" s="17" t="str">
        <x:v>Ще немає заміру</x:v>
      </x:c>
    </x:row>
    <x:row r="330" ht="25" customHeight="1">
      <x:c r="A330" s="10" t="str">
        <x:v>H05VV-F · частково заповнена карта</x:v>
      </x:c>
      <x:c r="B330" s="11" t="n">
        <x:v>2.5</x:v>
      </x:c>
      <x:c r="C330" s="25" t="str">
        <x:v>Прогнозовані</x:v>
      </x:c>
      <x:c r="D330" s="26"/>
      <x:c r="E330" s="26"/>
      <x:c r="F330" s="26"/>
      <x:c r="G330" s="14" t="n">
        <x:v>20</x:v>
      </x:c>
      <x:c r="H330" s="14" t="str">
        <x:f>IF(F330="","",ROUND(F330/2,0))</x:f>
      </x:c>
      <x:c r="I330" s="15"/>
      <x:c r="J330" s="15"/>
      <x:c r="K330" s="15"/>
      <x:c r="L330" s="15"/>
      <x:c r="M330" s="17" t="str">
        <x:v>Недостатньо даних</x:v>
      </x:c>
    </x:row>
    <x:row r="331" ht="25" customHeight="1">
      <x:c r="A331" s="18" t="str">
        <x:v>H05VV-F · частково заповнена карта</x:v>
      </x:c>
      <x:c r="B331" s="19" t="n">
        <x:v>4</x:v>
      </x:c>
      <x:c r="C331" s="18" t="str">
        <x:v>Довідкові</x:v>
      </x:c>
      <x:c r="D331" s="20"/>
      <x:c r="E331" s="20"/>
      <x:c r="F331" s="20" t="n">
        <x:v>250</x:v>
      </x:c>
      <x:c r="G331" s="20" t="n">
        <x:v>20</x:v>
      </x:c>
      <x:c r="H331" s="20" t="n">
        <x:f>IF(F331="","",ROUND(F331/2,0))</x:f>
        <x:v>125</x:v>
      </x:c>
      <x:c r="I331" s="21"/>
      <x:c r="J331" s="21"/>
      <x:c r="K331" s="21"/>
      <x:c r="L331" s="21"/>
      <x:c r="M331" s="22" t="str">
        <x:v>IMG_3860.JPG</x:v>
      </x:c>
    </x:row>
    <x:row r="332" ht="25" customHeight="1">
      <x:c r="A332" s="10" t="str">
        <x:v>H05VV-F · частково заповнена карта</x:v>
      </x:c>
      <x:c r="B332" s="11" t="n">
        <x:v>4</x:v>
      </x:c>
      <x:c r="C332" s="23" t="str">
        <x:v>Практичні</x:v>
      </x:c>
      <x:c r="D332" s="24"/>
      <x:c r="E332" s="24"/>
      <x:c r="F332" s="24"/>
      <x:c r="G332" s="14" t="n">
        <x:v>20</x:v>
      </x:c>
      <x:c r="H332" s="14" t="str">
        <x:f>IF(F332="","",ROUND(F332/2,0))</x:f>
      </x:c>
      <x:c r="I332" s="15"/>
      <x:c r="J332" s="15"/>
      <x:c r="K332" s="15"/>
      <x:c r="L332" s="15"/>
      <x:c r="M332" s="17" t="str">
        <x:v>Ще немає заміру</x:v>
      </x:c>
    </x:row>
    <x:row r="333" ht="25" customHeight="1">
      <x:c r="A333" s="10" t="str">
        <x:v>H05VV-F · частково заповнена карта</x:v>
      </x:c>
      <x:c r="B333" s="11" t="n">
        <x:v>4</x:v>
      </x:c>
      <x:c r="C333" s="25" t="str">
        <x:v>Прогнозовані</x:v>
      </x:c>
      <x:c r="D333" s="26"/>
      <x:c r="E333" s="26"/>
      <x:c r="F333" s="26"/>
      <x:c r="G333" s="14" t="n">
        <x:v>20</x:v>
      </x:c>
      <x:c r="H333" s="14" t="str">
        <x:f>IF(F333="","",ROUND(F333/2,0))</x:f>
      </x:c>
      <x:c r="I333" s="15"/>
      <x:c r="J333" s="15"/>
      <x:c r="K333" s="15"/>
      <x:c r="L333" s="15"/>
      <x:c r="M333" s="17" t="str">
        <x:v>Недостатньо даних</x:v>
      </x:c>
    </x:row>
    <x:row r="334" ht="25" customHeight="1">
      <x:c r="A334" s="18" t="str">
        <x:v>H05VV-F · частково заповнена карта</x:v>
      </x:c>
      <x:c r="B334" s="19" t="n">
        <x:v>6</x:v>
      </x:c>
      <x:c r="C334" s="18" t="str">
        <x:v>Довідкові</x:v>
      </x:c>
      <x:c r="D334" s="20"/>
      <x:c r="E334" s="20"/>
      <x:c r="F334" s="20" t="n">
        <x:v>200</x:v>
      </x:c>
      <x:c r="G334" s="20" t="n">
        <x:v>20</x:v>
      </x:c>
      <x:c r="H334" s="20" t="n">
        <x:f>IF(F334="","",ROUND(F334/2,0))</x:f>
        <x:v>100</x:v>
      </x:c>
      <x:c r="I334" s="21"/>
      <x:c r="J334" s="21"/>
      <x:c r="K334" s="21"/>
      <x:c r="L334" s="21"/>
      <x:c r="M334" s="22" t="str">
        <x:v>IMG_3860.JPG</x:v>
      </x:c>
    </x:row>
    <x:row r="335" ht="25" customHeight="1">
      <x:c r="A335" s="10" t="str">
        <x:v>H05VV-F · частково заповнена карта</x:v>
      </x:c>
      <x:c r="B335" s="11" t="n">
        <x:v>6</x:v>
      </x:c>
      <x:c r="C335" s="23" t="str">
        <x:v>Практичні</x:v>
      </x:c>
      <x:c r="D335" s="24"/>
      <x:c r="E335" s="24"/>
      <x:c r="F335" s="24"/>
      <x:c r="G335" s="14" t="n">
        <x:v>20</x:v>
      </x:c>
      <x:c r="H335" s="14" t="str">
        <x:f>IF(F335="","",ROUND(F335/2,0))</x:f>
      </x:c>
      <x:c r="I335" s="15"/>
      <x:c r="J335" s="15"/>
      <x:c r="K335" s="15"/>
      <x:c r="L335" s="15"/>
      <x:c r="M335" s="17" t="str">
        <x:v>Ще немає заміру</x:v>
      </x:c>
    </x:row>
    <x:row r="336" ht="25" customHeight="1">
      <x:c r="A336" s="10" t="str">
        <x:v>H05VV-F · частково заповнена карта</x:v>
      </x:c>
      <x:c r="B336" s="11" t="n">
        <x:v>6</x:v>
      </x:c>
      <x:c r="C336" s="25" t="str">
        <x:v>Прогнозовані</x:v>
      </x:c>
      <x:c r="D336" s="26"/>
      <x:c r="E336" s="26"/>
      <x:c r="F336" s="26"/>
      <x:c r="G336" s="14" t="n">
        <x:v>20</x:v>
      </x:c>
      <x:c r="H336" s="14" t="str">
        <x:f>IF(F336="","",ROUND(F336/2,0))</x:f>
      </x:c>
      <x:c r="I336" s="15"/>
      <x:c r="J336" s="15"/>
      <x:c r="K336" s="15"/>
      <x:c r="L336" s="15"/>
      <x:c r="M336" s="17" t="str">
        <x:v>Недостатньо даних</x:v>
      </x:c>
    </x:row>
    <x:row r="337" ht="25" customHeight="1">
      <x:c r="A337" s="18" t="str">
        <x:v>ПВС EUROLUMINA / ПВСе</x:v>
      </x:c>
      <x:c r="B337" s="19" t="n">
        <x:v>0.75</x:v>
      </x:c>
      <x:c r="C337" s="18" t="str">
        <x:v>Довідкові</x:v>
      </x:c>
      <x:c r="D337" s="20"/>
      <x:c r="E337" s="20"/>
      <x:c r="F337" s="20" t="n">
        <x:v>400</x:v>
      </x:c>
      <x:c r="G337" s="20" t="n">
        <x:v>20</x:v>
      </x:c>
      <x:c r="H337" s="20" t="n">
        <x:f>IF(F337="","",ROUND(F337/2,0))</x:f>
        <x:v>200</x:v>
      </x:c>
      <x:c r="I337" s="21" t="n">
        <x:v>1.25</x:v>
      </x:c>
      <x:c r="J337" s="21" t="n">
        <x:v>2.65</x:v>
      </x:c>
      <x:c r="K337" s="21"/>
      <x:c r="L337" s="21"/>
      <x:c r="M337" s="22" t="str">
        <x:v>IMG_3861.JPG</x:v>
      </x:c>
    </x:row>
    <x:row r="338" ht="25" customHeight="1">
      <x:c r="A338" s="10" t="str">
        <x:v>ПВС EUROLUMINA / ПВСе</x:v>
      </x:c>
      <x:c r="B338" s="11" t="n">
        <x:v>0.75</x:v>
      </x:c>
      <x:c r="C338" s="23" t="str">
        <x:v>Практичні</x:v>
      </x:c>
      <x:c r="D338" s="24"/>
      <x:c r="E338" s="24"/>
      <x:c r="F338" s="24"/>
      <x:c r="G338" s="14" t="n">
        <x:v>20</x:v>
      </x:c>
      <x:c r="H338" s="14" t="str">
        <x:f>IF(F338="","",ROUND(F338/2,0))</x:f>
      </x:c>
      <x:c r="I338" s="15"/>
      <x:c r="J338" s="15"/>
      <x:c r="K338" s="15"/>
      <x:c r="L338" s="15"/>
      <x:c r="M338" s="17" t="str">
        <x:v>Ще немає заміру</x:v>
      </x:c>
    </x:row>
    <x:row r="339" ht="25" customHeight="1">
      <x:c r="A339" s="10" t="str">
        <x:v>ПВС EUROLUMINA / ПВСе</x:v>
      </x:c>
      <x:c r="B339" s="11" t="n">
        <x:v>0.75</x:v>
      </x:c>
      <x:c r="C339" s="25" t="str">
        <x:v>Прогнозовані</x:v>
      </x:c>
      <x:c r="D339" s="26"/>
      <x:c r="E339" s="26"/>
      <x:c r="F339" s="26"/>
      <x:c r="G339" s="14" t="n">
        <x:v>20</x:v>
      </x:c>
      <x:c r="H339" s="14" t="str">
        <x:f>IF(F339="","",ROUND(F339/2,0))</x:f>
      </x:c>
      <x:c r="I339" s="15"/>
      <x:c r="J339" s="15"/>
      <x:c r="K339" s="15"/>
      <x:c r="L339" s="15" t="n">
        <x:v>2.8</x:v>
      </x:c>
      <x:c r="M339" s="17" t="str">
        <x:v>Матриця + 0,15</x:v>
      </x:c>
    </x:row>
    <x:row r="340" ht="25" customHeight="1">
      <x:c r="A340" s="18" t="str">
        <x:v>ПВС EUROLUMINA / ПВСе</x:v>
      </x:c>
      <x:c r="B340" s="19" t="n">
        <x:v>1</x:v>
      </x:c>
      <x:c r="C340" s="18" t="str">
        <x:v>Довідкові</x:v>
      </x:c>
      <x:c r="D340" s="20"/>
      <x:c r="E340" s="20"/>
      <x:c r="F340" s="20" t="n">
        <x:v>350</x:v>
      </x:c>
      <x:c r="G340" s="20" t="n">
        <x:v>20</x:v>
      </x:c>
      <x:c r="H340" s="20" t="n">
        <x:f>IF(F340="","",ROUND(F340/2,0))</x:f>
        <x:v>175</x:v>
      </x:c>
      <x:c r="I340" s="21" t="n">
        <x:v>1.3</x:v>
      </x:c>
      <x:c r="J340" s="21" t="n">
        <x:v>2.85</x:v>
      </x:c>
      <x:c r="K340" s="21"/>
      <x:c r="L340" s="21"/>
      <x:c r="M340" s="22" t="str">
        <x:v>IMG_3861.JPG</x:v>
      </x:c>
    </x:row>
    <x:row r="341" ht="25" customHeight="1">
      <x:c r="A341" s="10" t="str">
        <x:v>ПВС EUROLUMINA / ПВСе</x:v>
      </x:c>
      <x:c r="B341" s="11" t="n">
        <x:v>1</x:v>
      </x:c>
      <x:c r="C341" s="23" t="str">
        <x:v>Практичні</x:v>
      </x:c>
      <x:c r="D341" s="24"/>
      <x:c r="E341" s="24"/>
      <x:c r="F341" s="24"/>
      <x:c r="G341" s="14" t="n">
        <x:v>20</x:v>
      </x:c>
      <x:c r="H341" s="14" t="str">
        <x:f>IF(F341="","",ROUND(F341/2,0))</x:f>
      </x:c>
      <x:c r="I341" s="15"/>
      <x:c r="J341" s="15"/>
      <x:c r="K341" s="15"/>
      <x:c r="L341" s="15"/>
      <x:c r="M341" s="17" t="str">
        <x:v>Ще немає заміру</x:v>
      </x:c>
    </x:row>
    <x:row r="342" ht="25" customHeight="1">
      <x:c r="A342" s="10" t="str">
        <x:v>ПВС EUROLUMINA / ПВСе</x:v>
      </x:c>
      <x:c r="B342" s="11" t="n">
        <x:v>1</x:v>
      </x:c>
      <x:c r="C342" s="25" t="str">
        <x:v>Прогнозовані</x:v>
      </x:c>
      <x:c r="D342" s="26"/>
      <x:c r="E342" s="26"/>
      <x:c r="F342" s="26"/>
      <x:c r="G342" s="14" t="n">
        <x:v>20</x:v>
      </x:c>
      <x:c r="H342" s="14" t="str">
        <x:f>IF(F342="","",ROUND(F342/2,0))</x:f>
      </x:c>
      <x:c r="I342" s="15"/>
      <x:c r="J342" s="15"/>
      <x:c r="K342" s="15"/>
      <x:c r="L342" s="15" t="n">
        <x:v>3</x:v>
      </x:c>
      <x:c r="M342" s="17" t="str">
        <x:v>Матриця + 0,15</x:v>
      </x:c>
    </x:row>
    <x:row r="343" ht="25" customHeight="1">
      <x:c r="A343" s="18" t="str">
        <x:v>ПВС EUROLUMINA / ПВСе</x:v>
      </x:c>
      <x:c r="B343" s="19" t="n">
        <x:v>1.5</x:v>
      </x:c>
      <x:c r="C343" s="18" t="str">
        <x:v>Довідкові</x:v>
      </x:c>
      <x:c r="D343" s="20"/>
      <x:c r="E343" s="20"/>
      <x:c r="F343" s="20" t="n">
        <x:v>300</x:v>
      </x:c>
      <x:c r="G343" s="20" t="n">
        <x:v>20</x:v>
      </x:c>
      <x:c r="H343" s="20" t="n">
        <x:f>IF(F343="","",ROUND(F343/2,0))</x:f>
        <x:v>150</x:v>
      </x:c>
      <x:c r="I343" s="21" t="n">
        <x:v>1.6</x:v>
      </x:c>
      <x:c r="J343" s="21" t="n">
        <x:v>3.15</x:v>
      </x:c>
      <x:c r="K343" s="21"/>
      <x:c r="L343" s="21"/>
      <x:c r="M343" s="22" t="str">
        <x:v>IMG_3861.JPG</x:v>
      </x:c>
    </x:row>
    <x:row r="344" ht="25" customHeight="1">
      <x:c r="A344" s="10" t="str">
        <x:v>ПВС EUROLUMINA / ПВСе</x:v>
      </x:c>
      <x:c r="B344" s="11" t="n">
        <x:v>1.5</x:v>
      </x:c>
      <x:c r="C344" s="23" t="str">
        <x:v>Практичні</x:v>
      </x:c>
      <x:c r="D344" s="24"/>
      <x:c r="E344" s="24"/>
      <x:c r="F344" s="24"/>
      <x:c r="G344" s="14" t="n">
        <x:v>20</x:v>
      </x:c>
      <x:c r="H344" s="14" t="str">
        <x:f>IF(F344="","",ROUND(F344/2,0))</x:f>
      </x:c>
      <x:c r="I344" s="15"/>
      <x:c r="J344" s="15"/>
      <x:c r="K344" s="15"/>
      <x:c r="L344" s="15"/>
      <x:c r="M344" s="17" t="str">
        <x:v>Ще немає заміру</x:v>
      </x:c>
    </x:row>
    <x:row r="345" ht="25" customHeight="1">
      <x:c r="A345" s="10" t="str">
        <x:v>ПВС EUROLUMINA / ПВСе</x:v>
      </x:c>
      <x:c r="B345" s="11" t="n">
        <x:v>1.5</x:v>
      </x:c>
      <x:c r="C345" s="25" t="str">
        <x:v>Прогнозовані</x:v>
      </x:c>
      <x:c r="D345" s="26"/>
      <x:c r="E345" s="26"/>
      <x:c r="F345" s="26"/>
      <x:c r="G345" s="14" t="n">
        <x:v>20</x:v>
      </x:c>
      <x:c r="H345" s="14" t="str">
        <x:f>IF(F345="","",ROUND(F345/2,0))</x:f>
      </x:c>
      <x:c r="I345" s="15"/>
      <x:c r="J345" s="15"/>
      <x:c r="K345" s="15"/>
      <x:c r="L345" s="15" t="n">
        <x:v>3.3</x:v>
      </x:c>
      <x:c r="M345" s="17" t="str">
        <x:v>Матриця + 0,15</x:v>
      </x:c>
    </x:row>
    <x:row r="346" ht="25" customHeight="1">
      <x:c r="A346" s="18" t="str">
        <x:v>ПВС EUROLUMINA / ПВСе</x:v>
      </x:c>
      <x:c r="B346" s="19" t="n">
        <x:v>2.5</x:v>
      </x:c>
      <x:c r="C346" s="18" t="str">
        <x:v>Довідкові</x:v>
      </x:c>
      <x:c r="D346" s="20"/>
      <x:c r="E346" s="20"/>
      <x:c r="F346" s="20" t="n">
        <x:v>240</x:v>
      </x:c>
      <x:c r="G346" s="20" t="n">
        <x:v>20</x:v>
      </x:c>
      <x:c r="H346" s="20" t="n">
        <x:f>IF(F346="","",ROUND(F346/2,0))</x:f>
        <x:v>120</x:v>
      </x:c>
      <x:c r="I346" s="21" t="n">
        <x:v>2.1</x:v>
      </x:c>
      <x:c r="J346" s="21" t="n">
        <x:v>3.55</x:v>
      </x:c>
      <x:c r="K346" s="21"/>
      <x:c r="L346" s="21"/>
      <x:c r="M346" s="22" t="str">
        <x:v>IMG_3861.JPG</x:v>
      </x:c>
    </x:row>
    <x:row r="347" ht="25" customHeight="1">
      <x:c r="A347" s="10" t="str">
        <x:v>ПВС EUROLUMINA / ПВСе</x:v>
      </x:c>
      <x:c r="B347" s="11" t="n">
        <x:v>2.5</x:v>
      </x:c>
      <x:c r="C347" s="23" t="str">
        <x:v>Практичні</x:v>
      </x:c>
      <x:c r="D347" s="24"/>
      <x:c r="E347" s="24"/>
      <x:c r="F347" s="24"/>
      <x:c r="G347" s="14" t="n">
        <x:v>20</x:v>
      </x:c>
      <x:c r="H347" s="14" t="str">
        <x:f>IF(F347="","",ROUND(F347/2,0))</x:f>
      </x:c>
      <x:c r="I347" s="15"/>
      <x:c r="J347" s="15"/>
      <x:c r="K347" s="15"/>
      <x:c r="L347" s="15"/>
      <x:c r="M347" s="17" t="str">
        <x:v>Ще немає заміру</x:v>
      </x:c>
    </x:row>
    <x:row r="348" ht="25" customHeight="1">
      <x:c r="A348" s="10" t="str">
        <x:v>ПВС EUROLUMINA / ПВСе</x:v>
      </x:c>
      <x:c r="B348" s="11" t="n">
        <x:v>2.5</x:v>
      </x:c>
      <x:c r="C348" s="25" t="str">
        <x:v>Прогнозовані</x:v>
      </x:c>
      <x:c r="D348" s="26"/>
      <x:c r="E348" s="26"/>
      <x:c r="F348" s="26"/>
      <x:c r="G348" s="14" t="n">
        <x:v>20</x:v>
      </x:c>
      <x:c r="H348" s="14" t="str">
        <x:f>IF(F348="","",ROUND(F348/2,0))</x:f>
      </x:c>
      <x:c r="I348" s="15"/>
      <x:c r="J348" s="15"/>
      <x:c r="K348" s="15"/>
      <x:c r="L348" s="15" t="n">
        <x:v>3.7</x:v>
      </x:c>
      <x:c r="M348" s="17" t="str">
        <x:v>Матриця + 0,15</x:v>
      </x:c>
    </x:row>
    <x:row r="349" ht="25" customHeight="1">
      <x:c r="A349" s="18" t="str">
        <x:v>ПВС EUROLUMINA / ПВСе</x:v>
      </x:c>
      <x:c r="B349" s="19" t="n">
        <x:v>4</x:v>
      </x:c>
      <x:c r="C349" s="18" t="str">
        <x:v>Довідкові</x:v>
      </x:c>
      <x:c r="D349" s="20"/>
      <x:c r="E349" s="20"/>
      <x:c r="F349" s="20" t="n">
        <x:v>200</x:v>
      </x:c>
      <x:c r="G349" s="20" t="n">
        <x:v>20</x:v>
      </x:c>
      <x:c r="H349" s="20" t="n">
        <x:f>IF(F349="","",ROUND(F349/2,0))</x:f>
        <x:v>100</x:v>
      </x:c>
      <x:c r="I349" s="21" t="n">
        <x:v>2.6</x:v>
      </x:c>
      <x:c r="J349" s="21" t="n">
        <x:v>4.1</x:v>
      </x:c>
      <x:c r="K349" s="21"/>
      <x:c r="L349" s="21"/>
      <x:c r="M349" s="22" t="str">
        <x:v>IMG_3861.JPG</x:v>
      </x:c>
    </x:row>
    <x:row r="350" ht="25" customHeight="1">
      <x:c r="A350" s="10" t="str">
        <x:v>ПВС EUROLUMINA / ПВСе</x:v>
      </x:c>
      <x:c r="B350" s="11" t="n">
        <x:v>4</x:v>
      </x:c>
      <x:c r="C350" s="23" t="str">
        <x:v>Практичні</x:v>
      </x:c>
      <x:c r="D350" s="24"/>
      <x:c r="E350" s="24"/>
      <x:c r="F350" s="24"/>
      <x:c r="G350" s="14" t="n">
        <x:v>20</x:v>
      </x:c>
      <x:c r="H350" s="14" t="str">
        <x:f>IF(F350="","",ROUND(F350/2,0))</x:f>
      </x:c>
      <x:c r="I350" s="15"/>
      <x:c r="J350" s="15"/>
      <x:c r="K350" s="15"/>
      <x:c r="L350" s="15"/>
      <x:c r="M350" s="17" t="str">
        <x:v>Ще немає заміру</x:v>
      </x:c>
    </x:row>
    <x:row r="351" ht="25" customHeight="1">
      <x:c r="A351" s="10" t="str">
        <x:v>ПВС EUROLUMINA / ПВСе</x:v>
      </x:c>
      <x:c r="B351" s="11" t="n">
        <x:v>4</x:v>
      </x:c>
      <x:c r="C351" s="25" t="str">
        <x:v>Прогнозовані</x:v>
      </x:c>
      <x:c r="D351" s="26"/>
      <x:c r="E351" s="26"/>
      <x:c r="F351" s="26"/>
      <x:c r="G351" s="14" t="n">
        <x:v>20</x:v>
      </x:c>
      <x:c r="H351" s="14" t="str">
        <x:f>IF(F351="","",ROUND(F351/2,0))</x:f>
      </x:c>
      <x:c r="I351" s="15"/>
      <x:c r="J351" s="15"/>
      <x:c r="K351" s="15"/>
      <x:c r="L351" s="15" t="n">
        <x:v>4.25</x:v>
      </x:c>
      <x:c r="M351" s="17" t="str">
        <x:v>Матриця + 0,15</x:v>
      </x:c>
    </x:row>
    <x:row r="352" ht="25" customHeight="1">
      <x:c r="A352" s="18" t="str">
        <x:v>YSLY-JZ / OZ / JB / OB · 600/1000 В</x:v>
      </x:c>
      <x:c r="B352" s="19" t="n">
        <x:v>0.5</x:v>
      </x:c>
      <x:c r="C352" s="18" t="str">
        <x:v>Довідкові</x:v>
      </x:c>
      <x:c r="D352" s="20" t="n">
        <x:v>35</x:v>
      </x:c>
      <x:c r="E352" s="20" t="n">
        <x:v>55</x:v>
      </x:c>
      <x:c r="F352" s="20" t="n">
        <x:v>180</x:v>
      </x:c>
      <x:c r="G352" s="20" t="n">
        <x:v>20</x:v>
      </x:c>
      <x:c r="H352" s="20" t="n">
        <x:f>IF(F352="","",ROUND(F352/2,0))</x:f>
        <x:v>90</x:v>
      </x:c>
      <x:c r="I352" s="21" t="n">
        <x:v>1</x:v>
      </x:c>
      <x:c r="J352" s="21" t="n">
        <x:v>2.1</x:v>
      </x:c>
      <x:c r="K352" s="21"/>
      <x:c r="L352" s="21"/>
      <x:c r="M352" s="22" t="str">
        <x:v>IMG_3862.JPG</x:v>
      </x:c>
    </x:row>
    <x:row r="353" ht="25" customHeight="1">
      <x:c r="A353" s="10" t="str">
        <x:v>YSLY-JZ / OZ / JB / OB · 600/1000 В</x:v>
      </x:c>
      <x:c r="B353" s="11" t="n">
        <x:v>0.5</x:v>
      </x:c>
      <x:c r="C353" s="23" t="str">
        <x:v>Практичні</x:v>
      </x:c>
      <x:c r="D353" s="24"/>
      <x:c r="E353" s="24"/>
      <x:c r="F353" s="24"/>
      <x:c r="G353" s="14" t="n">
        <x:v>20</x:v>
      </x:c>
      <x:c r="H353" s="14" t="str">
        <x:f>IF(F353="","",ROUND(F353/2,0))</x:f>
      </x:c>
      <x:c r="I353" s="15"/>
      <x:c r="J353" s="15"/>
      <x:c r="K353" s="15"/>
      <x:c r="L353" s="15"/>
      <x:c r="M353" s="17" t="str">
        <x:v>Ще немає заміру</x:v>
      </x:c>
    </x:row>
    <x:row r="354" ht="25" customHeight="1">
      <x:c r="A354" s="10" t="str">
        <x:v>YSLY-JZ / OZ / JB / OB · 600/1000 В</x:v>
      </x:c>
      <x:c r="B354" s="11" t="n">
        <x:v>0.5</x:v>
      </x:c>
      <x:c r="C354" s="25" t="str">
        <x:v>Прогнозовані</x:v>
      </x:c>
      <x:c r="D354" s="26"/>
      <x:c r="E354" s="26"/>
      <x:c r="F354" s="26"/>
      <x:c r="G354" s="14" t="n">
        <x:v>20</x:v>
      </x:c>
      <x:c r="H354" s="14" t="str">
        <x:f>IF(F354="","",ROUND(F354/2,0))</x:f>
      </x:c>
      <x:c r="I354" s="15"/>
      <x:c r="J354" s="15"/>
      <x:c r="K354" s="15"/>
      <x:c r="L354" s="15" t="n">
        <x:v>2.25</x:v>
      </x:c>
      <x:c r="M354" s="17" t="str">
        <x:v>Матриця + 0,15</x:v>
      </x:c>
    </x:row>
    <x:row r="355" ht="25" customHeight="1">
      <x:c r="A355" s="18" t="str">
        <x:v>YSLY-JZ / OZ / JB / OB · 600/1000 В</x:v>
      </x:c>
      <x:c r="B355" s="19" t="n">
        <x:v>0.75</x:v>
      </x:c>
      <x:c r="C355" s="18" t="str">
        <x:v>Довідкові</x:v>
      </x:c>
      <x:c r="D355" s="20" t="n">
        <x:v>41</x:v>
      </x:c>
      <x:c r="E355" s="20" t="n">
        <x:v>65</x:v>
      </x:c>
      <x:c r="F355" s="20" t="n">
        <x:v>180</x:v>
      </x:c>
      <x:c r="G355" s="20" t="n">
        <x:v>20</x:v>
      </x:c>
      <x:c r="H355" s="20" t="n">
        <x:f>IF(F355="","",ROUND(F355/2,0))</x:f>
        <x:v>90</x:v>
      </x:c>
      <x:c r="I355" s="21" t="n">
        <x:v>1.2</x:v>
      </x:c>
      <x:c r="J355" s="21" t="n">
        <x:v>2.3</x:v>
      </x:c>
      <x:c r="K355" s="21"/>
      <x:c r="L355" s="21"/>
      <x:c r="M355" s="22" t="str">
        <x:v>IMG_3862.JPG</x:v>
      </x:c>
    </x:row>
    <x:row r="356" ht="25" customHeight="1">
      <x:c r="A356" s="10" t="str">
        <x:v>YSLY-JZ / OZ / JB / OB · 600/1000 В</x:v>
      </x:c>
      <x:c r="B356" s="11" t="n">
        <x:v>0.75</x:v>
      </x:c>
      <x:c r="C356" s="23" t="str">
        <x:v>Практичні</x:v>
      </x:c>
      <x:c r="D356" s="24"/>
      <x:c r="E356" s="24"/>
      <x:c r="F356" s="24"/>
      <x:c r="G356" s="14" t="n">
        <x:v>20</x:v>
      </x:c>
      <x:c r="H356" s="14" t="str">
        <x:f>IF(F356="","",ROUND(F356/2,0))</x:f>
      </x:c>
      <x:c r="I356" s="15"/>
      <x:c r="J356" s="15"/>
      <x:c r="K356" s="15"/>
      <x:c r="L356" s="15"/>
      <x:c r="M356" s="17" t="str">
        <x:v>Ще немає заміру</x:v>
      </x:c>
    </x:row>
    <x:row r="357" ht="25" customHeight="1">
      <x:c r="A357" s="10" t="str">
        <x:v>YSLY-JZ / OZ / JB / OB · 600/1000 В</x:v>
      </x:c>
      <x:c r="B357" s="11" t="n">
        <x:v>0.75</x:v>
      </x:c>
      <x:c r="C357" s="25" t="str">
        <x:v>Прогнозовані</x:v>
      </x:c>
      <x:c r="D357" s="26"/>
      <x:c r="E357" s="26"/>
      <x:c r="F357" s="26"/>
      <x:c r="G357" s="14" t="n">
        <x:v>20</x:v>
      </x:c>
      <x:c r="H357" s="14" t="str">
        <x:f>IF(F357="","",ROUND(F357/2,0))</x:f>
      </x:c>
      <x:c r="I357" s="15"/>
      <x:c r="J357" s="15"/>
      <x:c r="K357" s="15"/>
      <x:c r="L357" s="15" t="n">
        <x:v>2.45</x:v>
      </x:c>
      <x:c r="M357" s="17" t="str">
        <x:v>Матриця + 0,15</x:v>
      </x:c>
    </x:row>
    <x:row r="358" ht="25" customHeight="1">
      <x:c r="A358" s="18" t="str">
        <x:v>YSLY-JZ / OZ / JB / OB · 600/1000 В</x:v>
      </x:c>
      <x:c r="B358" s="19" t="n">
        <x:v>1</x:v>
      </x:c>
      <x:c r="C358" s="18" t="str">
        <x:v>Довідкові</x:v>
      </x:c>
      <x:c r="D358" s="20" t="n">
        <x:v>44</x:v>
      </x:c>
      <x:c r="E358" s="20" t="n">
        <x:v>70</x:v>
      </x:c>
      <x:c r="F358" s="20" t="n">
        <x:v>180</x:v>
      </x:c>
      <x:c r="G358" s="20" t="n">
        <x:v>20</x:v>
      </x:c>
      <x:c r="H358" s="20" t="n">
        <x:f>IF(F358="","",ROUND(F358/2,0))</x:f>
        <x:v>90</x:v>
      </x:c>
      <x:c r="I358" s="21" t="n">
        <x:v>1.3</x:v>
      </x:c>
      <x:c r="J358" s="21" t="n">
        <x:v>2.4</x:v>
      </x:c>
      <x:c r="K358" s="21"/>
      <x:c r="L358" s="21"/>
      <x:c r="M358" s="22" t="str">
        <x:v>IMG_3862.JPG</x:v>
      </x:c>
    </x:row>
    <x:row r="359" ht="25" customHeight="1">
      <x:c r="A359" s="10" t="str">
        <x:v>YSLY-JZ / OZ / JB / OB · 600/1000 В</x:v>
      </x:c>
      <x:c r="B359" s="11" t="n">
        <x:v>1</x:v>
      </x:c>
      <x:c r="C359" s="23" t="str">
        <x:v>Практичні</x:v>
      </x:c>
      <x:c r="D359" s="24"/>
      <x:c r="E359" s="24"/>
      <x:c r="F359" s="24"/>
      <x:c r="G359" s="14" t="n">
        <x:v>20</x:v>
      </x:c>
      <x:c r="H359" s="14" t="str">
        <x:f>IF(F359="","",ROUND(F359/2,0))</x:f>
      </x:c>
      <x:c r="I359" s="15"/>
      <x:c r="J359" s="15"/>
      <x:c r="K359" s="15"/>
      <x:c r="L359" s="15"/>
      <x:c r="M359" s="17" t="str">
        <x:v>Ще немає заміру</x:v>
      </x:c>
    </x:row>
    <x:row r="360" ht="25" customHeight="1">
      <x:c r="A360" s="10" t="str">
        <x:v>YSLY-JZ / OZ / JB / OB · 600/1000 В</x:v>
      </x:c>
      <x:c r="B360" s="11" t="n">
        <x:v>1</x:v>
      </x:c>
      <x:c r="C360" s="25" t="str">
        <x:v>Прогнозовані</x:v>
      </x:c>
      <x:c r="D360" s="26"/>
      <x:c r="E360" s="26"/>
      <x:c r="F360" s="26"/>
      <x:c r="G360" s="14" t="n">
        <x:v>20</x:v>
      </x:c>
      <x:c r="H360" s="14" t="str">
        <x:f>IF(F360="","",ROUND(F360/2,0))</x:f>
      </x:c>
      <x:c r="I360" s="15"/>
      <x:c r="J360" s="15"/>
      <x:c r="K360" s="15"/>
      <x:c r="L360" s="15" t="n">
        <x:v>2.55</x:v>
      </x:c>
      <x:c r="M360" s="17" t="str">
        <x:v>Матриця + 0,15</x:v>
      </x:c>
    </x:row>
    <x:row r="361" ht="25" customHeight="1">
      <x:c r="A361" s="18" t="str">
        <x:v>YSLY-JZ / OZ / JB / OB · 600/1000 В</x:v>
      </x:c>
      <x:c r="B361" s="19" t="n">
        <x:v>1.5</x:v>
      </x:c>
      <x:c r="C361" s="18" t="str">
        <x:v>Довідкові</x:v>
      </x:c>
      <x:c r="D361" s="20" t="n">
        <x:v>60</x:v>
      </x:c>
      <x:c r="E361" s="20" t="n">
        <x:v>80</x:v>
      </x:c>
      <x:c r="F361" s="20" t="n">
        <x:v>180</x:v>
      </x:c>
      <x:c r="G361" s="20" t="n">
        <x:v>20</x:v>
      </x:c>
      <x:c r="H361" s="20" t="n">
        <x:f>IF(F361="","",ROUND(F361/2,0))</x:f>
        <x:v>90</x:v>
      </x:c>
      <x:c r="I361" s="21" t="n">
        <x:v>1.6</x:v>
      </x:c>
      <x:c r="J361" s="21" t="n">
        <x:v>3</x:v>
      </x:c>
      <x:c r="K361" s="21"/>
      <x:c r="L361" s="21"/>
      <x:c r="M361" s="22" t="str">
        <x:v>IMG_3862.JPG</x:v>
      </x:c>
    </x:row>
    <x:row r="362" ht="25" customHeight="1">
      <x:c r="A362" s="10" t="str">
        <x:v>YSLY-JZ / OZ / JB / OB · 600/1000 В</x:v>
      </x:c>
      <x:c r="B362" s="11" t="n">
        <x:v>1.5</x:v>
      </x:c>
      <x:c r="C362" s="23" t="str">
        <x:v>Практичні</x:v>
      </x:c>
      <x:c r="D362" s="24"/>
      <x:c r="E362" s="24"/>
      <x:c r="F362" s="24"/>
      <x:c r="G362" s="14" t="n">
        <x:v>20</x:v>
      </x:c>
      <x:c r="H362" s="14" t="str">
        <x:f>IF(F362="","",ROUND(F362/2,0))</x:f>
      </x:c>
      <x:c r="I362" s="15"/>
      <x:c r="J362" s="15"/>
      <x:c r="K362" s="15"/>
      <x:c r="L362" s="15"/>
      <x:c r="M362" s="17" t="str">
        <x:v>Ще немає заміру</x:v>
      </x:c>
    </x:row>
    <x:row r="363" ht="25" customHeight="1">
      <x:c r="A363" s="10" t="str">
        <x:v>YSLY-JZ / OZ / JB / OB · 600/1000 В</x:v>
      </x:c>
      <x:c r="B363" s="11" t="n">
        <x:v>1.5</x:v>
      </x:c>
      <x:c r="C363" s="25" t="str">
        <x:v>Прогнозовані</x:v>
      </x:c>
      <x:c r="D363" s="26"/>
      <x:c r="E363" s="26"/>
      <x:c r="F363" s="26"/>
      <x:c r="G363" s="14" t="n">
        <x:v>20</x:v>
      </x:c>
      <x:c r="H363" s="14" t="str">
        <x:f>IF(F363="","",ROUND(F363/2,0))</x:f>
      </x:c>
      <x:c r="I363" s="15"/>
      <x:c r="J363" s="15"/>
      <x:c r="K363" s="15"/>
      <x:c r="L363" s="15" t="n">
        <x:v>3.15</x:v>
      </x:c>
      <x:c r="M363" s="17" t="str">
        <x:v>Матриця + 0,15</x:v>
      </x:c>
    </x:row>
    <x:row r="364" ht="25" customHeight="1">
      <x:c r="A364" s="18" t="str">
        <x:v>YSLY-JZ / OZ / JB / OB · 600/1000 В</x:v>
      </x:c>
      <x:c r="B364" s="19" t="n">
        <x:v>2.5</x:v>
      </x:c>
      <x:c r="C364" s="18" t="str">
        <x:v>Довідкові</x:v>
      </x:c>
      <x:c r="D364" s="20" t="n">
        <x:v>87</x:v>
      </x:c>
      <x:c r="E364" s="20" t="n">
        <x:v>100</x:v>
      </x:c>
      <x:c r="F364" s="20" t="n">
        <x:v>180</x:v>
      </x:c>
      <x:c r="G364" s="20" t="n">
        <x:v>20</x:v>
      </x:c>
      <x:c r="H364" s="20" t="n">
        <x:f>IF(F364="","",ROUND(F364/2,0))</x:f>
        <x:v>90</x:v>
      </x:c>
      <x:c r="I364" s="21" t="n">
        <x:v>2.1</x:v>
      </x:c>
      <x:c r="J364" s="21" t="n">
        <x:v>3.6</x:v>
      </x:c>
      <x:c r="K364" s="21"/>
      <x:c r="L364" s="21"/>
      <x:c r="M364" s="22" t="str">
        <x:v>IMG_3862.JPG</x:v>
      </x:c>
    </x:row>
    <x:row r="365" ht="25" customHeight="1">
      <x:c r="A365" s="10" t="str">
        <x:v>YSLY-JZ / OZ / JB / OB · 600/1000 В</x:v>
      </x:c>
      <x:c r="B365" s="11" t="n">
        <x:v>2.5</x:v>
      </x:c>
      <x:c r="C365" s="23" t="str">
        <x:v>Практичні</x:v>
      </x:c>
      <x:c r="D365" s="24"/>
      <x:c r="E365" s="24"/>
      <x:c r="F365" s="24"/>
      <x:c r="G365" s="14" t="n">
        <x:v>20</x:v>
      </x:c>
      <x:c r="H365" s="14" t="str">
        <x:f>IF(F365="","",ROUND(F365/2,0))</x:f>
      </x:c>
      <x:c r="I365" s="15"/>
      <x:c r="J365" s="15"/>
      <x:c r="K365" s="15"/>
      <x:c r="L365" s="15"/>
      <x:c r="M365" s="17" t="str">
        <x:v>Ще немає заміру</x:v>
      </x:c>
    </x:row>
    <x:row r="366" ht="25" customHeight="1">
      <x:c r="A366" s="10" t="str">
        <x:v>YSLY-JZ / OZ / JB / OB · 600/1000 В</x:v>
      </x:c>
      <x:c r="B366" s="11" t="n">
        <x:v>2.5</x:v>
      </x:c>
      <x:c r="C366" s="25" t="str">
        <x:v>Прогнозовані</x:v>
      </x:c>
      <x:c r="D366" s="26"/>
      <x:c r="E366" s="26"/>
      <x:c r="F366" s="26"/>
      <x:c r="G366" s="14" t="n">
        <x:v>20</x:v>
      </x:c>
      <x:c r="H366" s="14" t="str">
        <x:f>IF(F366="","",ROUND(F366/2,0))</x:f>
      </x:c>
      <x:c r="I366" s="15"/>
      <x:c r="J366" s="15"/>
      <x:c r="K366" s="15"/>
      <x:c r="L366" s="15" t="n">
        <x:v>3.75</x:v>
      </x:c>
      <x:c r="M366" s="17" t="str">
        <x:v>Матриця + 0,15</x:v>
      </x:c>
    </x:row>
    <x:row r="367" ht="25" customHeight="1">
      <x:c r="A367" s="18" t="str">
        <x:v>YSLY-JZ / OZ / JB / OB · 600/1000 В</x:v>
      </x:c>
      <x:c r="B367" s="19" t="n">
        <x:v>4</x:v>
      </x:c>
      <x:c r="C367" s="18" t="str">
        <x:v>Довідкові</x:v>
      </x:c>
      <x:c r="D367" s="20" t="n">
        <x:v>104</x:v>
      </x:c>
      <x:c r="E367" s="20" t="n">
        <x:v>110</x:v>
      </x:c>
      <x:c r="F367" s="20" t="n">
        <x:v>180</x:v>
      </x:c>
      <x:c r="G367" s="20" t="n">
        <x:v>20</x:v>
      </x:c>
      <x:c r="H367" s="20" t="n">
        <x:f>IF(F367="","",ROUND(F367/2,0))</x:f>
        <x:v>90</x:v>
      </x:c>
      <x:c r="I367" s="21" t="n">
        <x:v>2.6</x:v>
      </x:c>
      <x:c r="J367" s="21" t="n">
        <x:v>4.1</x:v>
      </x:c>
      <x:c r="K367" s="21"/>
      <x:c r="L367" s="21"/>
      <x:c r="M367" s="22" t="str">
        <x:v>IMG_3862.JPG</x:v>
      </x:c>
    </x:row>
    <x:row r="368" ht="25" customHeight="1">
      <x:c r="A368" s="10" t="str">
        <x:v>YSLY-JZ / OZ / JB / OB · 600/1000 В</x:v>
      </x:c>
      <x:c r="B368" s="11" t="n">
        <x:v>4</x:v>
      </x:c>
      <x:c r="C368" s="23" t="str">
        <x:v>Практичні</x:v>
      </x:c>
      <x:c r="D368" s="24"/>
      <x:c r="E368" s="24"/>
      <x:c r="F368" s="24"/>
      <x:c r="G368" s="14" t="n">
        <x:v>20</x:v>
      </x:c>
      <x:c r="H368" s="14" t="str">
        <x:f>IF(F368="","",ROUND(F368/2,0))</x:f>
      </x:c>
      <x:c r="I368" s="15"/>
      <x:c r="J368" s="15"/>
      <x:c r="K368" s="15"/>
      <x:c r="L368" s="15"/>
      <x:c r="M368" s="17" t="str">
        <x:v>Ще немає заміру</x:v>
      </x:c>
    </x:row>
    <x:row r="369" ht="25" customHeight="1">
      <x:c r="A369" s="10" t="str">
        <x:v>YSLY-JZ / OZ / JB / OB · 600/1000 В</x:v>
      </x:c>
      <x:c r="B369" s="11" t="n">
        <x:v>4</x:v>
      </x:c>
      <x:c r="C369" s="25" t="str">
        <x:v>Прогнозовані</x:v>
      </x:c>
      <x:c r="D369" s="26"/>
      <x:c r="E369" s="26"/>
      <x:c r="F369" s="26"/>
      <x:c r="G369" s="14" t="n">
        <x:v>20</x:v>
      </x:c>
      <x:c r="H369" s="14" t="str">
        <x:f>IF(F369="","",ROUND(F369/2,0))</x:f>
      </x:c>
      <x:c r="I369" s="15"/>
      <x:c r="J369" s="15"/>
      <x:c r="K369" s="15"/>
      <x:c r="L369" s="15" t="n">
        <x:v>4.25</x:v>
      </x:c>
      <x:c r="M369" s="17" t="str">
        <x:v>Матриця + 0,15</x:v>
      </x:c>
    </x:row>
    <x:row r="370" ht="25" customHeight="1">
      <x:c r="A370" s="18" t="str">
        <x:v>YSLY-JZ / OZ / JB / OB · 600/1000 В</x:v>
      </x:c>
      <x:c r="B370" s="19" t="n">
        <x:v>6</x:v>
      </x:c>
      <x:c r="C370" s="18" t="str">
        <x:v>Довідкові</x:v>
      </x:c>
      <x:c r="D370" s="20" t="n">
        <x:v>122</x:v>
      </x:c>
      <x:c r="E370" s="20" t="n">
        <x:v>140</x:v>
      </x:c>
      <x:c r="F370" s="20" t="n">
        <x:v>150</x:v>
      </x:c>
      <x:c r="G370" s="20" t="n">
        <x:v>20</x:v>
      </x:c>
      <x:c r="H370" s="20" t="n">
        <x:f>IF(F370="","",ROUND(F370/2,0))</x:f>
        <x:v>75</x:v>
      </x:c>
      <x:c r="I370" s="21" t="n">
        <x:v>3.2</x:v>
      </x:c>
      <x:c r="J370" s="21" t="n">
        <x:v>4.7</x:v>
      </x:c>
      <x:c r="K370" s="21"/>
      <x:c r="L370" s="21"/>
      <x:c r="M370" s="22" t="str">
        <x:v>IMG_3862.JPG</x:v>
      </x:c>
    </x:row>
    <x:row r="371" ht="25" customHeight="1">
      <x:c r="A371" s="10" t="str">
        <x:v>YSLY-JZ / OZ / JB / OB · 600/1000 В</x:v>
      </x:c>
      <x:c r="B371" s="11" t="n">
        <x:v>6</x:v>
      </x:c>
      <x:c r="C371" s="23" t="str">
        <x:v>Практичні</x:v>
      </x:c>
      <x:c r="D371" s="24"/>
      <x:c r="E371" s="24"/>
      <x:c r="F371" s="24"/>
      <x:c r="G371" s="14" t="n">
        <x:v>20</x:v>
      </x:c>
      <x:c r="H371" s="14" t="str">
        <x:f>IF(F371="","",ROUND(F371/2,0))</x:f>
      </x:c>
      <x:c r="I371" s="15"/>
      <x:c r="J371" s="15"/>
      <x:c r="K371" s="15"/>
      <x:c r="L371" s="15"/>
      <x:c r="M371" s="17" t="str">
        <x:v>Ще немає заміру</x:v>
      </x:c>
    </x:row>
    <x:row r="372" ht="25" customHeight="1">
      <x:c r="A372" s="10" t="str">
        <x:v>YSLY-JZ / OZ / JB / OB · 600/1000 В</x:v>
      </x:c>
      <x:c r="B372" s="11" t="n">
        <x:v>6</x:v>
      </x:c>
      <x:c r="C372" s="25" t="str">
        <x:v>Прогнозовані</x:v>
      </x:c>
      <x:c r="D372" s="26"/>
      <x:c r="E372" s="26"/>
      <x:c r="F372" s="26"/>
      <x:c r="G372" s="14" t="n">
        <x:v>20</x:v>
      </x:c>
      <x:c r="H372" s="14" t="str">
        <x:f>IF(F372="","",ROUND(F372/2,0))</x:f>
      </x:c>
      <x:c r="I372" s="15"/>
      <x:c r="J372" s="15"/>
      <x:c r="K372" s="15"/>
      <x:c r="L372" s="15" t="n">
        <x:v>4.85</x:v>
      </x:c>
      <x:c r="M372" s="17" t="str">
        <x:v>Матриця + 0,15</x:v>
      </x:c>
    </x:row>
    <x:row r="375" ht="30" customHeight="1">
      <x:c r="A375" s="27" t="str">
        <x:v>Практичні</x:v>
      </x:c>
      <x:c r="B375" s="28" t="str">
        <x:v>Установка з рукопису має пріоритет. Порожня практика означає відсутність заміру, а не відсутність кабелю.</x:v>
      </x:c>
      <x:c r="C375" s="28"/>
      <x:c r="D375" s="28"/>
      <x:c r="E375" s="28"/>
      <x:c r="F375" s="28"/>
      <x:c r="G375" s="28"/>
      <x:c r="H375" s="28"/>
    </x:row>
    <x:row r="376" ht="30" customHeight="1">
      <x:c r="A376" s="27" t="str">
        <x:v>Прогнозовані</x:v>
      </x:c>
      <x:c r="B376" s="28" t="str">
        <x:v>Оцінка за практичними режимами тієї самої карти. Інша специфікація потребує власного заміру.</x:v>
      </x:c>
      <x:c r="C376" s="28"/>
      <x:c r="D376" s="28"/>
      <x:c r="E376" s="28"/>
      <x:c r="F376" s="28"/>
      <x:c r="G376" s="28"/>
      <x:c r="H376" s="28"/>
    </x:row>
    <x:row r="377" ht="30" customHeight="1">
      <x:c r="A377" s="27" t="str">
        <x:v>Сікора</x:v>
      </x:c>
      <x:c r="B377" s="28" t="str">
        <x:v>Довідковий номінальний діаметр не є готовою установкою Сікори. Матриця + 0,15 мм — приблизний орієнтир.</x:v>
      </x:c>
      <x:c r="C377" s="28"/>
      <x:c r="D377" s="28"/>
      <x:c r="E377" s="28"/>
      <x:c r="F377" s="28"/>
      <x:c r="G377" s="28"/>
      <x:c r="H377" s="28"/>
    </x:row>
    <x:row r="378" ht="30" customHeight="1">
      <x:c r="A378" s="27" t="str">
        <x:v>Один екструдер</x:v>
      </x:c>
      <x:c r="B378" s="28" t="str">
        <x:v>Порожні оберти №2 у режимі одного екструдера означають: №2 вимкнений.</x:v>
      </x:c>
      <x:c r="C378" s="28"/>
      <x:c r="D378" s="28"/>
      <x:c r="E378" s="28"/>
      <x:c r="F378" s="28"/>
      <x:c r="G378" s="28"/>
      <x:c r="H378" s="28"/>
    </x:row>
    <x:row r="379" ht="30" customHeight="1">
      <x:c r="A379" s="27" t="str">
        <x:v>ПВ3</x:v>
      </x:c>
      <x:c r="B379" s="28" t="str">
        <x:v>Пари обертів у рукописах можуть належати іншому режиму. Їх не змішано з режимом одного екструдера.</x:v>
      </x:c>
      <x:c r="C379" s="28"/>
      <x:c r="D379" s="28"/>
      <x:c r="E379" s="28"/>
      <x:c r="F379" s="28"/>
      <x:c r="G379" s="28"/>
      <x:c r="H379" s="28"/>
    </x:row>
    <x:row r="380" ht="30" customHeight="1">
      <x:c r="A380" s="27" t="str">
        <x:v>Друковані карти</x:v>
      </x:c>
      <x:c r="B380" s="28" t="str">
        <x:v>IMG_3848.JPG–IMG_3862.JPG. Умови під таблицями збережені на сайті в довідці кожної карти.</x:v>
      </x:c>
      <x:c r="C380" s="28"/>
      <x:c r="D380" s="28"/>
      <x:c r="E380" s="28"/>
      <x:c r="F380" s="28"/>
      <x:c r="G380" s="28"/>
      <x:c r="H380" s="28"/>
    </x:row>
  </x:sheetData>
  <x:mergeCells>
    <x:mergeCell ref="B375:H375"/>
    <x:mergeCell ref="B376:H376"/>
    <x:mergeCell ref="B377:H377"/>
    <x:mergeCell ref="B378:H378"/>
    <x:mergeCell ref="B379:H379"/>
    <x:mergeCell ref="B380:H380"/>
  </x:mergeCells>
  <x:pageMargins left="0.7" right="0.7" top="0.75" bottom="0.75" header="0.3" footer="0.3"/>
  <x:tableParts count="1">
    <x:tablePart xmlns:r="http://schemas.openxmlformats.org/officeDocument/2006/relationships" r:id="Rbb1cf6b5f05347ce"/>
  </x:tableParts>
</x:worksheet>
</file>